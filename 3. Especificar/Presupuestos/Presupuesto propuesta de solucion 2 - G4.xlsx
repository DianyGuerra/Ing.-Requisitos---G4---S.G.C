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92F7867BBA6753/"/>
    </mc:Choice>
  </mc:AlternateContent>
  <xr:revisionPtr revIDLastSave="0" documentId="8_{BD04CAA9-CBEA-45A9-AFBC-EEE2268A3BDD}" xr6:coauthVersionLast="47" xr6:coauthVersionMax="47" xr10:uidLastSave="{00000000-0000-0000-0000-000000000000}"/>
  <bookViews>
    <workbookView xWindow="12946" yWindow="0" windowWidth="13232" windowHeight="14047" firstSheet="3" activeTab="3" xr2:uid="{00000000-000D-0000-FFFF-FFFF00000000}"/>
  </bookViews>
  <sheets>
    <sheet name="Resumen_P1" sheetId="1" r:id="rId1"/>
    <sheet name="Recursos_Humanos_P1" sheetId="2" r:id="rId2"/>
    <sheet name="Materiales_Economicos_P1" sheetId="3" r:id="rId3"/>
    <sheet name="Estimacion_P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E48" i="4"/>
  <c r="E47" i="4"/>
  <c r="E46" i="4"/>
  <c r="E45" i="4"/>
  <c r="E42" i="4"/>
  <c r="E43" i="4"/>
  <c r="E44" i="4"/>
  <c r="E37" i="4"/>
  <c r="E36" i="4"/>
  <c r="E35" i="4"/>
  <c r="E34" i="4"/>
  <c r="E29" i="4"/>
  <c r="E28" i="4"/>
  <c r="E27" i="4"/>
  <c r="E26" i="4"/>
  <c r="E18" i="4"/>
  <c r="E20" i="4"/>
  <c r="E19" i="4"/>
  <c r="E12" i="4"/>
  <c r="E8" i="4"/>
  <c r="E11" i="4"/>
  <c r="E10" i="4"/>
  <c r="E9" i="4"/>
  <c r="E7" i="4"/>
  <c r="E6" i="4"/>
  <c r="E5" i="4"/>
  <c r="E4" i="4"/>
  <c r="K7" i="4"/>
  <c r="C41" i="3"/>
  <c r="C42" i="3"/>
  <c r="C43" i="3" s="1"/>
  <c r="C44" i="3" s="1"/>
  <c r="D19" i="3"/>
  <c r="K5" i="4" s="1"/>
  <c r="D18" i="3"/>
  <c r="D17" i="3"/>
  <c r="D16" i="3"/>
  <c r="C17" i="3"/>
  <c r="C16" i="3"/>
  <c r="H12" i="3"/>
  <c r="G12" i="3"/>
  <c r="C11" i="3"/>
  <c r="C10" i="3"/>
  <c r="G6" i="3"/>
  <c r="F6" i="3" s="1"/>
  <c r="C5" i="3"/>
  <c r="F5" i="3" s="1"/>
  <c r="F7" i="3" s="1"/>
  <c r="F10" i="3" s="1"/>
  <c r="F11" i="3" s="1"/>
  <c r="C4" i="3"/>
  <c r="F4" i="3" s="1"/>
  <c r="C14" i="1"/>
  <c r="C18" i="1" s="1"/>
  <c r="C22" i="1" s="1"/>
  <c r="C23" i="1" s="1"/>
  <c r="E33" i="3"/>
  <c r="G33" i="3" s="1"/>
  <c r="E34" i="3"/>
  <c r="G34" i="3" s="1"/>
  <c r="E32" i="3"/>
  <c r="G32" i="3" s="1"/>
  <c r="G10" i="4" l="1"/>
  <c r="F12" i="4"/>
  <c r="F21" i="4"/>
  <c r="G21" i="4"/>
  <c r="F48" i="4"/>
  <c r="F47" i="4"/>
  <c r="G42" i="4"/>
  <c r="F43" i="4"/>
  <c r="G44" i="4"/>
  <c r="G26" i="4"/>
  <c r="F44" i="4"/>
  <c r="G45" i="4"/>
  <c r="G48" i="4"/>
  <c r="H48" i="4" s="1"/>
  <c r="F45" i="4"/>
  <c r="G46" i="4"/>
  <c r="F42" i="4"/>
  <c r="H42" i="4" s="1"/>
  <c r="G43" i="4"/>
  <c r="F46" i="4"/>
  <c r="G47" i="4"/>
  <c r="F34" i="4"/>
  <c r="F35" i="4"/>
  <c r="F36" i="4"/>
  <c r="G27" i="4"/>
  <c r="F37" i="4"/>
  <c r="G34" i="4"/>
  <c r="G35" i="4"/>
  <c r="G36" i="4"/>
  <c r="G37" i="4"/>
  <c r="G28" i="4"/>
  <c r="G29" i="4"/>
  <c r="G19" i="4"/>
  <c r="F26" i="4"/>
  <c r="F27" i="4"/>
  <c r="F28" i="4"/>
  <c r="F29" i="4"/>
  <c r="G20" i="4"/>
  <c r="G18" i="4"/>
  <c r="F18" i="4"/>
  <c r="H18" i="4" s="1"/>
  <c r="F19" i="4"/>
  <c r="H19" i="4" s="1"/>
  <c r="F20" i="4"/>
  <c r="H20" i="4" s="1"/>
  <c r="G11" i="4"/>
  <c r="F6" i="4"/>
  <c r="F7" i="4"/>
  <c r="G12" i="4"/>
  <c r="H12" i="4" s="1"/>
  <c r="F5" i="4"/>
  <c r="F8" i="4"/>
  <c r="G7" i="4"/>
  <c r="G8" i="4"/>
  <c r="F9" i="4"/>
  <c r="F4" i="4"/>
  <c r="F10" i="4"/>
  <c r="H10" i="4" s="1"/>
  <c r="G4" i="4"/>
  <c r="F11" i="4"/>
  <c r="H11" i="4" s="1"/>
  <c r="G5" i="4"/>
  <c r="G6" i="4"/>
  <c r="G9" i="4"/>
  <c r="D5" i="3"/>
  <c r="D4" i="3"/>
  <c r="F12" i="3"/>
  <c r="F13" i="3"/>
  <c r="E4" i="3"/>
  <c r="G35" i="3"/>
  <c r="H4" i="4" l="1"/>
  <c r="H9" i="4"/>
  <c r="H8" i="4"/>
  <c r="H5" i="4"/>
  <c r="H7" i="4"/>
  <c r="H6" i="4"/>
  <c r="H37" i="4"/>
  <c r="H36" i="4"/>
  <c r="H35" i="4"/>
  <c r="H34" i="4"/>
  <c r="H38" i="4" s="1"/>
  <c r="H21" i="4"/>
  <c r="H22" i="4" s="1"/>
  <c r="H47" i="4"/>
  <c r="H45" i="4"/>
  <c r="H44" i="4"/>
  <c r="H46" i="4"/>
  <c r="H43" i="4"/>
  <c r="H26" i="4"/>
  <c r="H29" i="4"/>
  <c r="H28" i="4"/>
  <c r="H27" i="4"/>
  <c r="H4" i="3"/>
  <c r="E10" i="3"/>
  <c r="G4" i="3"/>
  <c r="D10" i="3"/>
  <c r="G5" i="3"/>
  <c r="G11" i="3" s="1"/>
  <c r="E5" i="3"/>
  <c r="D11" i="3"/>
  <c r="H13" i="4" l="1"/>
  <c r="H49" i="4"/>
  <c r="H30" i="4"/>
  <c r="H5" i="3"/>
  <c r="H11" i="3" s="1"/>
  <c r="E11" i="3"/>
  <c r="G10" i="3"/>
  <c r="G13" i="3" s="1"/>
  <c r="G7" i="3"/>
  <c r="H10" i="3"/>
  <c r="H13" i="3" s="1"/>
  <c r="H7" i="3"/>
  <c r="H51" i="4"/>
  <c r="B54" i="4" s="1"/>
  <c r="B55" i="4" l="1"/>
  <c r="B56" i="4"/>
  <c r="B57" i="4" l="1"/>
</calcChain>
</file>

<file path=xl/sharedStrings.xml><?xml version="1.0" encoding="utf-8"?>
<sst xmlns="http://schemas.openxmlformats.org/spreadsheetml/2006/main" count="267" uniqueCount="133">
  <si>
    <t>Proyecto:</t>
  </si>
  <si>
    <t>Sistema de Cotización para Eventos - Servicios de catering " Chichi está de fiesta"</t>
  </si>
  <si>
    <t>Propuesta:</t>
  </si>
  <si>
    <t>Fecha:</t>
  </si>
  <si>
    <t>Duración estimada (meses):</t>
  </si>
  <si>
    <t>Integrantes</t>
  </si>
  <si>
    <t>Diana Guerra</t>
  </si>
  <si>
    <t>Andrés Cedeño</t>
  </si>
  <si>
    <t>Tania Tipán</t>
  </si>
  <si>
    <t>Trabajo diario</t>
  </si>
  <si>
    <t>Cantidad (horas)</t>
  </si>
  <si>
    <t>Hora de trabajo por día</t>
  </si>
  <si>
    <t>Horas de trabajo autónomo por día</t>
  </si>
  <si>
    <t>Total horas x día</t>
  </si>
  <si>
    <t>Trabajo semanal</t>
  </si>
  <si>
    <t>Días de trabajo a la semana</t>
  </si>
  <si>
    <t>Horas de trabajo semanal</t>
  </si>
  <si>
    <t>Trabajo semestral</t>
  </si>
  <si>
    <t>Cantidad</t>
  </si>
  <si>
    <t>Total semanas de trabajo</t>
  </si>
  <si>
    <t>Total de horas de trabajo por persona</t>
  </si>
  <si>
    <t>Total de horas de trabajo por equipo</t>
  </si>
  <si>
    <t>1. Recursos Humanos</t>
  </si>
  <si>
    <t>Integrante</t>
  </si>
  <si>
    <t>Rol</t>
  </si>
  <si>
    <t>Costo * hora</t>
  </si>
  <si>
    <t>Ingeniero de requisitos</t>
  </si>
  <si>
    <t>SCRUM Master</t>
  </si>
  <si>
    <t>Diseñador UX/UI</t>
  </si>
  <si>
    <t>Product Owner</t>
  </si>
  <si>
    <t>1. Gastos Operativos</t>
  </si>
  <si>
    <t>Concepto por persona</t>
  </si>
  <si>
    <t>Consumo diario</t>
  </si>
  <si>
    <t>Consumo semanal</t>
  </si>
  <si>
    <t>Consumo mensual</t>
  </si>
  <si>
    <t>Costo diario</t>
  </si>
  <si>
    <t>Costo semanal</t>
  </si>
  <si>
    <t>Costo mensual</t>
  </si>
  <si>
    <t>Electricidad (kWh)</t>
  </si>
  <si>
    <t>Agua (m^3)</t>
  </si>
  <si>
    <t>Internet</t>
  </si>
  <si>
    <t>-</t>
  </si>
  <si>
    <t>Subtotal por persona</t>
  </si>
  <si>
    <t>Concepto por equipo</t>
  </si>
  <si>
    <t>Subtotal por equipo</t>
  </si>
  <si>
    <t>Concepto por persona x hora</t>
  </si>
  <si>
    <t>Consumo * hora</t>
  </si>
  <si>
    <t>Subtotal por persona * hora</t>
  </si>
  <si>
    <t>2. Recursos Materiales</t>
  </si>
  <si>
    <t>Tipo de equipo: Laptop para desarrollo de software</t>
  </si>
  <si>
    <r>
      <t xml:space="preserve">Valor estimado por laptop: </t>
    </r>
    <r>
      <rPr>
        <b/>
        <sz val="11"/>
        <color theme="1"/>
        <rFont val="Calibri"/>
        <family val="2"/>
        <scheme val="minor"/>
      </rPr>
      <t>$800 USD</t>
    </r>
  </si>
  <si>
    <r>
      <t xml:space="preserve">Vida útil: </t>
    </r>
    <r>
      <rPr>
        <b/>
        <sz val="11"/>
        <color theme="1"/>
        <rFont val="Calibri"/>
        <family val="2"/>
        <scheme val="minor"/>
      </rPr>
      <t>36 meses (3 años)</t>
    </r>
  </si>
  <si>
    <r>
      <t xml:space="preserve">Método: </t>
    </r>
    <r>
      <rPr>
        <b/>
        <sz val="11"/>
        <color theme="1"/>
        <rFont val="Calibri"/>
        <family val="2"/>
        <scheme val="minor"/>
      </rPr>
      <t>Depreciación lineal</t>
    </r>
  </si>
  <si>
    <r>
      <t xml:space="preserve">Equipos: </t>
    </r>
    <r>
      <rPr>
        <b/>
        <sz val="11"/>
        <color theme="1"/>
        <rFont val="Calibri"/>
        <family val="2"/>
        <scheme val="minor"/>
      </rPr>
      <t>3 laptops</t>
    </r>
  </si>
  <si>
    <r>
      <t xml:space="preserve">Meses de uso en Propuesta 1: </t>
    </r>
    <r>
      <rPr>
        <b/>
        <sz val="11"/>
        <color theme="1"/>
        <rFont val="Calibri"/>
        <family val="2"/>
        <scheme val="minor"/>
      </rPr>
      <t>4 meses</t>
    </r>
  </si>
  <si>
    <t>Cálculo de la Depreciación de equipos</t>
  </si>
  <si>
    <t>Equipo</t>
  </si>
  <si>
    <t>Valor estimado (USD)</t>
  </si>
  <si>
    <t>Vida útil (meses)</t>
  </si>
  <si>
    <t>Depreciación Mensual</t>
  </si>
  <si>
    <t>Meses de uso</t>
  </si>
  <si>
    <t>Subtotal</t>
  </si>
  <si>
    <t>Laptop Diana</t>
  </si>
  <si>
    <t>Laptop Andrés</t>
  </si>
  <si>
    <t>Laptop Tania</t>
  </si>
  <si>
    <t>TOTAL DEPRECIACIÓN DE EQUIPOS</t>
  </si>
  <si>
    <t>La depreciación se calcula mediante el método lineal considerando el uso de los equipos durante el desarrollo del proyecto.</t>
  </si>
  <si>
    <t>Depreciación por persona</t>
  </si>
  <si>
    <t>Depreciación mensual</t>
  </si>
  <si>
    <t>Depreciación semanal</t>
  </si>
  <si>
    <t>Depreciación diaria</t>
  </si>
  <si>
    <t>Depreciación por hora</t>
  </si>
  <si>
    <t>Estimación referencial del proyecto por fases del proceso de elicitación</t>
  </si>
  <si>
    <t>Fase 1 : Elicitar</t>
  </si>
  <si>
    <t>Actividades</t>
  </si>
  <si>
    <t>Responsable</t>
  </si>
  <si>
    <t>Horas</t>
  </si>
  <si>
    <t>Rol desempeñado</t>
  </si>
  <si>
    <t>Costo RH</t>
  </si>
  <si>
    <t>Costo material</t>
  </si>
  <si>
    <t>Gastos Operativos</t>
  </si>
  <si>
    <t>Banco de preguntas de factores de calidad</t>
  </si>
  <si>
    <t>G4</t>
  </si>
  <si>
    <t>Ing. de Requisitos</t>
  </si>
  <si>
    <t>Planificación entrevista 1</t>
  </si>
  <si>
    <t>Diana + Tania</t>
  </si>
  <si>
    <t>Gasto operativo x hora</t>
  </si>
  <si>
    <t>Ejecución entrevista 1</t>
  </si>
  <si>
    <t>Andrés</t>
  </si>
  <si>
    <t>Minuta entrevista 1</t>
  </si>
  <si>
    <t>Costo Material x hora</t>
  </si>
  <si>
    <t>Defensa entrevista 1</t>
  </si>
  <si>
    <t>SM / PO / Ing. Req</t>
  </si>
  <si>
    <t>Planificación entrevista 2</t>
  </si>
  <si>
    <t>Ejecución entrevista 2</t>
  </si>
  <si>
    <t>Minuta entrevista 2</t>
  </si>
  <si>
    <t>Defensa entrevista 2</t>
  </si>
  <si>
    <t>Subtotal Fase 1</t>
  </si>
  <si>
    <t>Fase 2: Analizar</t>
  </si>
  <si>
    <t>Diagrama CU situación actual</t>
  </si>
  <si>
    <t>Andrés + Tania</t>
  </si>
  <si>
    <t>Defensa CU situación actual y árbol de problemas</t>
  </si>
  <si>
    <t>Diagrama CU propuesta solución 2</t>
  </si>
  <si>
    <t>Diana</t>
  </si>
  <si>
    <t>Árbol de problemas</t>
  </si>
  <si>
    <t>Subtotal Fase 2</t>
  </si>
  <si>
    <t>Fase 3: Especificar</t>
  </si>
  <si>
    <t>Descripción CU Propuesta Sol. 2</t>
  </si>
  <si>
    <t>Tania</t>
  </si>
  <si>
    <t>Modelo Conceptual del proyecto</t>
  </si>
  <si>
    <t>Redacción RNF</t>
  </si>
  <si>
    <t>Redacción documento SRS</t>
  </si>
  <si>
    <t>Subtotal Fase 3</t>
  </si>
  <si>
    <t>Fase 4: Verificar y Ajustar</t>
  </si>
  <si>
    <t>Envío documentación al G5</t>
  </si>
  <si>
    <t>Scrum Master</t>
  </si>
  <si>
    <t>Elaboración interfaces (G1)</t>
  </si>
  <si>
    <t>UX/UI</t>
  </si>
  <si>
    <t>Defensa interfaces</t>
  </si>
  <si>
    <t>Defensa documento SRS</t>
  </si>
  <si>
    <t>Fase 5: Administrar</t>
  </si>
  <si>
    <t>Planificación general del proyecto</t>
  </si>
  <si>
    <t>Gestión y seguimiento en JIRA</t>
  </si>
  <si>
    <t>Organización y mantenimiento del backlog</t>
  </si>
  <si>
    <t>Coordinación del equipo</t>
  </si>
  <si>
    <t>Reuniones con la ingeniera</t>
  </si>
  <si>
    <t>Coordinación defensas y entregas</t>
  </si>
  <si>
    <t>Revisión y control de calidad</t>
  </si>
  <si>
    <t>Total del proyecto por fases</t>
  </si>
  <si>
    <t>Proceso de levantamiento de requisitos(20%)</t>
  </si>
  <si>
    <t>Costo de elaboración del proyecto (80%)</t>
  </si>
  <si>
    <t>Presupuesto para contingencias (10%)</t>
  </si>
  <si>
    <t>TOTAL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</si>
</sst>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Emoji"/>
      <family val="2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164" fontId="0" fillId="0" borderId="0" xfId="1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164" fontId="0" fillId="0" borderId="0" xfId="1" applyFont="1" applyAlignment="1">
      <alignment horizontal="center" vertical="center" wrapText="1"/>
    </xf>
    <xf numFmtId="0" fontId="2" fillId="5" borderId="0" xfId="0" applyFont="1" applyFill="1"/>
    <xf numFmtId="164" fontId="2" fillId="5" borderId="0" xfId="1" applyFon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7" borderId="0" xfId="0" applyFont="1" applyFill="1"/>
    <xf numFmtId="0" fontId="2" fillId="7" borderId="0" xfId="0" applyFont="1" applyFill="1" applyAlignment="1">
      <alignment horizontal="center" vertical="center"/>
    </xf>
    <xf numFmtId="164" fontId="2" fillId="7" borderId="0" xfId="1" applyFont="1" applyFill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 wrapText="1"/>
    </xf>
    <xf numFmtId="2" fontId="2" fillId="0" borderId="0" xfId="0" quotePrefix="1" applyNumberFormat="1" applyFont="1" applyAlignment="1">
      <alignment horizontal="center" vertical="center"/>
    </xf>
    <xf numFmtId="164" fontId="2" fillId="7" borderId="0" xfId="0" applyNumberFormat="1" applyFont="1" applyFill="1"/>
    <xf numFmtId="164" fontId="2" fillId="7" borderId="0" xfId="1" applyFont="1" applyFill="1"/>
    <xf numFmtId="164" fontId="1" fillId="0" borderId="0" xfId="1" applyFont="1"/>
    <xf numFmtId="164" fontId="0" fillId="0" borderId="2" xfId="0" applyNumberFormat="1" applyBorder="1"/>
    <xf numFmtId="0" fontId="9" fillId="8" borderId="2" xfId="0" applyFont="1" applyFill="1" applyBorder="1"/>
    <xf numFmtId="164" fontId="0" fillId="0" borderId="0" xfId="0" applyNumberFormat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8" fillId="5" borderId="0" xfId="0" applyNumberFormat="1" applyFont="1" applyFill="1" applyAlignment="1">
      <alignment horizontal="right" wrapText="1"/>
    </xf>
    <xf numFmtId="164" fontId="3" fillId="5" borderId="0" xfId="0" applyNumberFormat="1" applyFont="1" applyFill="1"/>
    <xf numFmtId="0" fontId="7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164" fontId="0" fillId="10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 wrapText="1"/>
    </xf>
    <xf numFmtId="164" fontId="2" fillId="10" borderId="0" xfId="0" applyNumberFormat="1" applyFont="1" applyFill="1"/>
    <xf numFmtId="164" fontId="0" fillId="0" borderId="0" xfId="1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0" fontId="3" fillId="11" borderId="0" xfId="0" applyFont="1" applyFill="1"/>
    <xf numFmtId="0" fontId="9" fillId="11" borderId="0" xfId="0" applyFont="1" applyFill="1"/>
    <xf numFmtId="0" fontId="9" fillId="11" borderId="0" xfId="0" applyFont="1" applyFill="1" applyAlignment="1">
      <alignment horizontal="center" vertical="center"/>
    </xf>
    <xf numFmtId="164" fontId="3" fillId="11" borderId="0" xfId="0" applyNumberFormat="1" applyFont="1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 applyAlignment="1">
      <alignment horizontal="center" vertical="center"/>
    </xf>
    <xf numFmtId="164" fontId="3" fillId="12" borderId="0" xfId="1" applyFont="1" applyFill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9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93">
    <dxf>
      <numFmt numFmtId="0" formatCode="General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numFmt numFmtId="164" formatCode="_ &quot;$&quot;* #,##0.00_ ;_ &quot;$&quot;* \-#,##0.00_ ;_ &quot;$&quot;* &quot;-&quot;??_ ;_ @_ "/>
      <alignment horizontal="center" textRotation="0" indent="0" justifyLastLine="0" shrinkToFit="0" readingOrder="0"/>
    </dxf>
    <dxf>
      <numFmt numFmtId="164" formatCode="_ &quot;$&quot;* #,##0.00_ ;_ &quot;$&quot;* \-#,##0.00_ ;_ &quot;$&quot;* &quot;-&quot;??_ ;_ @_ "/>
      <alignment horizontal="center" textRotation="0" indent="0" justifyLastLine="0" shrinkToFit="0" readingOrder="0"/>
    </dxf>
    <dxf>
      <numFmt numFmtId="164" formatCode="_ &quot;$&quot;* #,##0.00_ ;_ &quot;$&quot;* \-#,##0.00_ ;_ &quot;$&quot;* &quot;-&quot;??_ ;_ @_ "/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</dxf>
    <dxf>
      <numFmt numFmtId="164" formatCode="_ &quot;$&quot;* #,##0.00_ ;_ &quot;$&quot;* \-#,##0.00_ ;_ &quot;$&quot;* &quot;-&quot;??_ ;_ @_ 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9525</xdr:rowOff>
    </xdr:from>
    <xdr:to>
      <xdr:col>2</xdr:col>
      <xdr:colOff>2076450</xdr:colOff>
      <xdr:row>1</xdr:row>
      <xdr:rowOff>1101954</xdr:rowOff>
    </xdr:to>
    <xdr:pic>
      <xdr:nvPicPr>
        <xdr:cNvPr id="2" name="Imagen 1" descr="Mi ESPE">
          <a:extLst>
            <a:ext uri="{FF2B5EF4-FFF2-40B4-BE49-F238E27FC236}">
              <a16:creationId xmlns:a16="http://schemas.microsoft.com/office/drawing/2014/main" id="{4E73B92C-A8DA-20B9-E944-348924A62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00025"/>
          <a:ext cx="4238625" cy="1092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3962400</xdr:colOff>
      <xdr:row>1</xdr:row>
      <xdr:rowOff>47625</xdr:rowOff>
    </xdr:from>
    <xdr:to>
      <xdr:col>2</xdr:col>
      <xdr:colOff>4873224</xdr:colOff>
      <xdr:row>1</xdr:row>
      <xdr:rowOff>1066800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36498B-500F-4A76-B458-00F98A2D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9375" y="238125"/>
          <a:ext cx="910824" cy="10191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1BE62-7E31-4826-AD87-329CFB85E938}" name="Tabla1" displayName="Tabla1" ref="B3:C9" totalsRowShown="0">
  <autoFilter ref="B3:C9" xr:uid="{DD11BE62-7E31-4826-AD87-329CFB85E938}">
    <filterColumn colId="0" hiddenButton="1"/>
    <filterColumn colId="1" hiddenButton="1"/>
  </autoFilter>
  <tableColumns count="2">
    <tableColumn id="1" xr3:uid="{4A0EF3A0-729A-4CC2-886E-76B709BE9321}" name="Proyecto:"/>
    <tableColumn id="2" xr3:uid="{EB34AD53-8422-4C85-99CA-79F42D5DDBA2}" name="Sistema de Cotización para Eventos - Servicios de catering &quot; Chichi está de fiesta&quot;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4307B3-A4AA-409C-9623-537EF8C8787F}" name="Tabla10" displayName="Tabla10" ref="B20:C23" totalsRowShown="0">
  <autoFilter ref="B20:C23" xr:uid="{064307B3-A4AA-409C-9623-537EF8C8787F}">
    <filterColumn colId="0" hiddenButton="1"/>
    <filterColumn colId="1" hiddenButton="1"/>
  </autoFilter>
  <tableColumns count="2">
    <tableColumn id="1" xr3:uid="{B7D8DB22-C01B-47B1-AC1A-111B27410370}" name="Trabajo semestral"/>
    <tableColumn id="2" xr3:uid="{A3110D71-19BC-4CA9-9916-F640806C0D48}" name="Cantidad">
      <calculatedColumnFormula>C20*C17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E14A7-E6FF-43F3-8A6F-CD788F45DEE1}" name="Tabla12" displayName="Tabla12" ref="B16:C18" totalsRowShown="0">
  <autoFilter ref="B16:C18" xr:uid="{5A4E14A7-E6FF-43F3-8A6F-CD788F45DEE1}">
    <filterColumn colId="0" hiddenButton="1"/>
    <filterColumn colId="1" hiddenButton="1"/>
  </autoFilter>
  <tableColumns count="2">
    <tableColumn id="1" xr3:uid="{A65E2475-C16E-4B09-97FC-80292D6A9036}" name="Trabajo semanal"/>
    <tableColumn id="2" xr3:uid="{61537B15-E1BF-4635-9E39-C13D79B1FC1F}" name="Cantidad (horas)">
      <calculatedColumnFormula>C16*C13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5A6CFE-492B-4FDE-AD9E-CBF0F10FFD7B}" name="Tabla13" displayName="Tabla13" ref="B11:C14" totalsRowShown="0">
  <autoFilter ref="B11:C14" xr:uid="{495A6CFE-492B-4FDE-AD9E-CBF0F10FFD7B}">
    <filterColumn colId="0" hiddenButton="1"/>
    <filterColumn colId="1" hiddenButton="1"/>
  </autoFilter>
  <tableColumns count="2">
    <tableColumn id="1" xr3:uid="{FC0EA611-F1FB-4D38-951B-622536C5D597}" name="Trabajo diario"/>
    <tableColumn id="2" xr3:uid="{E5EAED4C-08D8-496D-8230-EDC5883BC6E6}" name="Cantidad (hora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482104-6D96-4F91-A69B-12294390708C}" name="Tabla14" displayName="Tabla14" ref="B2:D5" totalsRowShown="0" headerRowDxfId="92" dataDxfId="91">
  <autoFilter ref="B2:D5" xr:uid="{55482104-6D96-4F91-A69B-12294390708C}">
    <filterColumn colId="0" hiddenButton="1"/>
    <filterColumn colId="1" hiddenButton="1"/>
    <filterColumn colId="2" hiddenButton="1"/>
  </autoFilter>
  <tableColumns count="3">
    <tableColumn id="1" xr3:uid="{0B41D826-0D0F-44DC-8D86-F31B3835274F}" name="Integrante" dataDxfId="90"/>
    <tableColumn id="2" xr3:uid="{1A5B47F1-09BD-447C-BA04-F972571FC795}" name="Rol" dataDxfId="89"/>
    <tableColumn id="3" xr3:uid="{507F7E00-46C9-4EB2-8617-CDB49EB3ED9D}" name="Costo * hora" dataDxfId="8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5426E1-8A96-4F0B-ACB7-A320772C9857}" name="Tabla148" displayName="Tabla148" ref="B7:D10" totalsRowShown="0" headerRowDxfId="87" dataDxfId="86">
  <autoFilter ref="B7:D10" xr:uid="{A55426E1-8A96-4F0B-ACB7-A320772C9857}">
    <filterColumn colId="0" hiddenButton="1"/>
    <filterColumn colId="1" hiddenButton="1"/>
    <filterColumn colId="2" hiddenButton="1"/>
  </autoFilter>
  <tableColumns count="3">
    <tableColumn id="1" xr3:uid="{D098E3B2-5B31-4B98-8CFF-EEDCE67CC3AE}" name="Integrante" dataDxfId="85"/>
    <tableColumn id="2" xr3:uid="{4D40876A-051D-42BE-8C20-9EE42D85B68C}" name="Rol" dataDxfId="84"/>
    <tableColumn id="3" xr3:uid="{63475F48-6B0A-4B27-AB2C-AD88C515C8BD}" name="Costo * hora" dataDxfId="83" dataCellStyle="Mone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436576-9BF9-4EC5-B448-E743B1B5BA73}" name="Tabla1410" displayName="Tabla1410" ref="B12:D14" totalsRowShown="0" headerRowDxfId="82" dataDxfId="81">
  <autoFilter ref="B12:D14" xr:uid="{BA436576-9BF9-4EC5-B448-E743B1B5BA73}">
    <filterColumn colId="0" hiddenButton="1"/>
    <filterColumn colId="1" hiddenButton="1"/>
    <filterColumn colId="2" hiddenButton="1"/>
  </autoFilter>
  <tableColumns count="3">
    <tableColumn id="1" xr3:uid="{574AA938-E4F8-40D2-AA92-8BE7738F456E}" name="Integrante" dataDxfId="80"/>
    <tableColumn id="2" xr3:uid="{C5EC1F69-B0CA-4ED2-91AE-F5897CC8FE6E}" name="Rol" dataDxfId="79"/>
    <tableColumn id="3" xr3:uid="{E0D0E0FD-7005-4B1B-94E3-5242E2F4E00B}" name="Costo * hora" dataDxfId="78" dataCellStyle="Mon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52A26-E042-4FEB-8E01-AD995822BCA9}" name="Tabla2" displayName="Tabla2" ref="B3:H7" totalsRowShown="0" headerRowDxfId="77">
  <autoFilter ref="B3:H7" xr:uid="{5BA52A26-E042-4FEB-8E01-AD995822BC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FAFC5E1-4C85-40C4-A9BB-4B2167B25218}" name="Concepto por persona"/>
    <tableColumn id="2" xr3:uid="{80D2C740-C5DE-4D51-BE43-64F216DA2FBE}" name="Consumo diario" dataDxfId="76">
      <calculatedColumnFormula>7500/1000</calculatedColumnFormula>
    </tableColumn>
    <tableColumn id="3" xr3:uid="{18556FC7-12CA-4A04-964C-0D03E92FD956}" name="Consumo semanal" dataDxfId="75">
      <calculatedColumnFormula>(9*Tabla2[[#This Row],[Consumo diario]])</calculatedColumnFormula>
    </tableColumn>
    <tableColumn id="5" xr3:uid="{5D5E83DE-7B38-47C6-90FD-8DE8C90C4418}" name="Consumo mensual" dataDxfId="74">
      <calculatedColumnFormula>Tabla2[[#This Row],[Consumo semanal]]*4</calculatedColumnFormula>
    </tableColumn>
    <tableColumn id="6" xr3:uid="{F8140440-053B-4DFD-9AC7-3D3E4C2718EB}" name="Costo diario" dataDxfId="73" dataCellStyle="Moneda">
      <calculatedColumnFormula>Tabla2[[#This Row],[Consumo diario]]*0.1</calculatedColumnFormula>
    </tableColumn>
    <tableColumn id="7" xr3:uid="{7AFFA634-CFE0-40E1-989C-D042DE56DB38}" name="Costo semanal" dataDxfId="72" dataCellStyle="Moneda">
      <calculatedColumnFormula>Tabla2[[#This Row],[Consumo semanal]]*0.1</calculatedColumnFormula>
    </tableColumn>
    <tableColumn id="8" xr3:uid="{1604B668-350D-4AF8-9D44-5076CE03765F}" name="Costo mensual" dataDxfId="71" dataCellStyle="Moneda">
      <calculatedColumnFormula>Tabla2[[#This Row],[Consumo mensual]]*0.1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2F5798-C585-4FF3-A5C3-3CF8365F57A4}" name="Tabla3" displayName="Tabla3" ref="B15:D19" totalsRowShown="0" headerRowDxfId="70">
  <autoFilter ref="B15:D19" xr:uid="{DB2F5798-C585-4FF3-A5C3-3CF8365F57A4}">
    <filterColumn colId="0" hiddenButton="1"/>
    <filterColumn colId="1" hiddenButton="1"/>
    <filterColumn colId="2" hiddenButton="1"/>
  </autoFilter>
  <tableColumns count="3">
    <tableColumn id="1" xr3:uid="{94C10658-C395-465A-88B4-72C1B9CB70B5}" name="Concepto por persona x hora"/>
    <tableColumn id="2" xr3:uid="{B5D7CED5-A94E-4A0D-BDE0-54AD26A02D31}" name="Consumo * hora" dataDxfId="69">
      <calculatedColumnFormula>C4/Resumen_P1!C13</calculatedColumnFormula>
    </tableColumn>
    <tableColumn id="3" xr3:uid="{304D3132-21C8-4962-B330-6A1BBF31F5D9}" name="Costo * hora" dataDxfId="68" dataCellStyle="Moneda">
      <calculatedColumnFormula>F4/Resumen_P1!C12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FE282B-7241-46AD-939A-D4D57724F0E1}" name="Tabla4" displayName="Tabla4" ref="B9:H13" totalsRowShown="0" headerRowDxfId="67">
  <autoFilter ref="B9:H13" xr:uid="{77FE282B-7241-46AD-939A-D4D57724F0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F327582-1F66-4A40-AC51-A98393A925D5}" name="Concepto por equipo"/>
    <tableColumn id="2" xr3:uid="{21B0BFFD-4D4E-4671-97B3-BF4EF34212B4}" name="Consumo diario" dataDxfId="66">
      <calculatedColumnFormula>C4*3</calculatedColumnFormula>
    </tableColumn>
    <tableColumn id="3" xr3:uid="{ABC85FFB-10CA-46E5-ABCB-30A62D119090}" name="Consumo semanal" dataDxfId="65">
      <calculatedColumnFormula>(9*Tabla2[[#This Row],[Consumo diario]])</calculatedColumnFormula>
    </tableColumn>
    <tableColumn id="4" xr3:uid="{C76B1F9C-A5BC-4E79-8080-33C6869D9A73}" name="Consumo mensual" dataDxfId="64">
      <calculatedColumnFormula>Tabla2[[#This Row],[Consumo semanal]]*4</calculatedColumnFormula>
    </tableColumn>
    <tableColumn id="5" xr3:uid="{0155436D-C65D-4C0C-9C75-F2E95D0E7C0F}" name="Costo diario" dataDxfId="63" dataCellStyle="Moneda">
      <calculatedColumnFormula>SUM(F7:F9)</calculatedColumnFormula>
    </tableColumn>
    <tableColumn id="6" xr3:uid="{3D680F1A-445C-45D1-8624-6998B3BF8DF1}" name="Costo semanal" dataDxfId="62" dataCellStyle="Moneda">
      <calculatedColumnFormula>Tabla2[[#This Row],[Consumo semanal]]*0.1</calculatedColumnFormula>
    </tableColumn>
    <tableColumn id="7" xr3:uid="{73DA5084-3913-410F-BD1A-A7673B404675}" name="Costo mensual" dataDxfId="61" dataCellStyle="Moneda">
      <calculatedColumnFormula>Tabla2[[#This Row],[Consumo mensual]]*0.1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AFDD3E-2303-4E58-8A36-032628CB5952}" name="Tabla6" displayName="Tabla6" ref="B31:G35" totalsRowShown="0" headerRowDxfId="60">
  <autoFilter ref="B31:G35" xr:uid="{E4AFDD3E-2303-4E58-8A36-032628CB59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37A255C-247E-4D92-B553-1817344DD3F4}" name="Equipo"/>
    <tableColumn id="2" xr3:uid="{06ED8A9A-709C-417C-A272-789B2ADC36BC}" name="Valor estimado (USD)"/>
    <tableColumn id="3" xr3:uid="{AB2D0D6A-F846-491B-9019-7D18E33E1FA8}" name="Vida útil (meses)"/>
    <tableColumn id="4" xr3:uid="{81F6DC24-AC21-4198-9A06-86F61ADF6D4C}" name="Depreciación Mensual"/>
    <tableColumn id="5" xr3:uid="{D24966BF-D853-4150-A710-561D4E4FB37C}" name="Meses de uso"/>
    <tableColumn id="6" xr3:uid="{2B7D8E99-BA64-47D9-9403-367066C19967}" name="Subtotal" dataCellStyle="Moned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042AA6-BBE3-43FE-875E-5FD3B5CBC241}" name="Tabla11" displayName="Tabla11" ref="A3:H13" totalsRowShown="0" headerRowDxfId="59">
  <autoFilter ref="A3:H13" xr:uid="{97042AA6-BBE3-43FE-875E-5FD3B5CBC2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996AA01-6755-4708-931B-DA3600DB9BC9}" name="Actividades" dataDxfId="58"/>
    <tableColumn id="2" xr3:uid="{CF0A6D8B-6E05-4B88-9732-C162E292F526}" name="Responsable" dataDxfId="57"/>
    <tableColumn id="3" xr3:uid="{40E3E9CA-FDED-4EDB-841A-A6C17B0CE6D0}" name="Horas" dataDxfId="56"/>
    <tableColumn id="4" xr3:uid="{547335C1-48E9-48F5-A325-65FFB720D100}" name="Rol desempeñado" dataDxfId="55"/>
    <tableColumn id="5" xr3:uid="{812080C0-3A53-4EA9-8AEB-D099E5EAC0F9}" name="Costo RH" dataDxfId="54">
      <calculatedColumnFormula>Tabla11[[#This Row],[Horas]]*SUM(O4,O9,O14)</calculatedColumnFormula>
    </tableColumn>
    <tableColumn id="6" xr3:uid="{C444C560-6F68-46B7-A789-EBA503F08F08}" name="Costo material" dataDxfId="53">
      <calculatedColumnFormula>3*Tabla11[[#This Row],[Horas]]*K7</calculatedColumnFormula>
    </tableColumn>
    <tableColumn id="7" xr3:uid="{17DE4DA0-E31F-47D0-946A-1022F61550AB}" name="Gastos Operativos" dataDxfId="52">
      <calculatedColumnFormula>3*Tabla11[[#This Row],[Horas]]*K5</calculatedColumnFormula>
    </tableColumn>
    <tableColumn id="8" xr3:uid="{5D4E131F-4514-47BE-B140-B671B5F9728D}" name="Subtotal" dataDxfId="51">
      <calculatedColumnFormula>SUM(Tabla11[[#This Row],[Costo RH]:[Gastos Operativos]])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4D5168-5CF1-4A8E-87D8-495768561A22}" name="Tabla1419" displayName="Tabla1419" ref="M3:O6" totalsRowShown="0" headerRowDxfId="50" dataDxfId="49">
  <autoFilter ref="M3:O6" xr:uid="{C64D5168-5CF1-4A8E-87D8-495768561A22}">
    <filterColumn colId="0" hiddenButton="1"/>
    <filterColumn colId="1" hiddenButton="1"/>
    <filterColumn colId="2" hiddenButton="1"/>
  </autoFilter>
  <tableColumns count="3">
    <tableColumn id="1" xr3:uid="{F32F1BE4-40FA-4AF5-839E-EB03455084C4}" name="Integrante" dataDxfId="48"/>
    <tableColumn id="2" xr3:uid="{1FDE715A-18BA-408F-9B52-DCDCB0FFA854}" name="Rol" dataDxfId="47"/>
    <tableColumn id="3" xr3:uid="{1E9CAFF6-3677-4C8B-A956-8D8236093047}" name="Costo * hora" dataDxfId="4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A8F4FD2-E2C8-4061-9BDD-08C654B8D674}" name="Tabla14820" displayName="Tabla14820" ref="M8:O11" totalsRowShown="0" headerRowDxfId="45" dataDxfId="44">
  <autoFilter ref="M8:O11" xr:uid="{5A8F4FD2-E2C8-4061-9BDD-08C654B8D674}">
    <filterColumn colId="0" hiddenButton="1"/>
    <filterColumn colId="1" hiddenButton="1"/>
    <filterColumn colId="2" hiddenButton="1"/>
  </autoFilter>
  <tableColumns count="3">
    <tableColumn id="1" xr3:uid="{760E8618-E422-4EC9-9DD5-5B71022BE408}" name="Integrante" dataDxfId="43"/>
    <tableColumn id="2" xr3:uid="{965B022F-FAC4-4AFC-88E4-A08518899BBA}" name="Rol" dataDxfId="42"/>
    <tableColumn id="3" xr3:uid="{504E7FB5-2B75-421A-A93B-AE09B169D454}" name="Costo * hora" dataDxfId="41" dataCellStyle="Moned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DEA08B-BE94-49E9-BBAF-D77CA0DC90EC}" name="Tabla141021" displayName="Tabla141021" ref="M13:O15" totalsRowShown="0" headerRowDxfId="40" dataDxfId="39">
  <autoFilter ref="M13:O15" xr:uid="{0DDEA08B-BE94-49E9-BBAF-D77CA0DC90EC}">
    <filterColumn colId="0" hiddenButton="1"/>
    <filterColumn colId="1" hiddenButton="1"/>
    <filterColumn colId="2" hiddenButton="1"/>
  </autoFilter>
  <tableColumns count="3">
    <tableColumn id="1" xr3:uid="{26402ADD-E320-44E5-8294-0F9243997D6B}" name="Integrante" dataDxfId="38"/>
    <tableColumn id="2" xr3:uid="{3B82789C-BE37-4786-9F4A-A54D7B1A0EF7}" name="Rol" dataDxfId="37"/>
    <tableColumn id="3" xr3:uid="{1ABF0955-5422-4269-B22D-38219367C0D0}" name="Costo * hora" dataDxfId="36" dataCellStyle="Moned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1168306-80E5-44A5-A60E-405FDD1278A7}" name="Tabla1122" displayName="Tabla1122" ref="A17:H22" totalsRowShown="0" headerRowDxfId="35">
  <autoFilter ref="A17:H22" xr:uid="{11168306-80E5-44A5-A60E-405FDD1278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C5DFF53-76A0-4DA7-9F9B-99027BCE14A7}" name="Actividades" dataDxfId="34"/>
    <tableColumn id="2" xr3:uid="{8E633A56-1F4F-499A-B966-39A291F5D50B}" name="Responsable" dataDxfId="33"/>
    <tableColumn id="3" xr3:uid="{9B9CC9C6-985E-4317-AF8E-EE6F8A163FCE}" name="Horas" dataDxfId="32"/>
    <tableColumn id="4" xr3:uid="{BF0E6C6B-57BF-4E6F-B739-5512293CD85A}" name="Rol desempeñado" dataDxfId="31"/>
    <tableColumn id="5" xr3:uid="{2B848738-7E2E-432F-9310-94339BED3160}" name="Costo RH" dataDxfId="30">
      <calculatedColumnFormula>SUM(O9:O14)*Tabla1122[[#This Row],[Horas]]</calculatedColumnFormula>
    </tableColumn>
    <tableColumn id="6" xr3:uid="{CBA445C6-32E9-4324-9EBE-8BA3713CB958}" name="Costo material" dataDxfId="29">
      <calculatedColumnFormula>2*Tabla1122[[#This Row],[Horas]]*K7</calculatedColumnFormula>
    </tableColumn>
    <tableColumn id="7" xr3:uid="{B0AF8A57-8684-4123-9391-9170DA0C6D6D}" name="Gastos Operativos" dataDxfId="28">
      <calculatedColumnFormula>2*Tabla1122[[#This Row],[Horas]]*K5</calculatedColumnFormula>
    </tableColumn>
    <tableColumn id="8" xr3:uid="{35C050C9-9385-49B3-80D2-D410F35E8E0D}" name="Subtotal" dataDxfId="27">
      <calculatedColumnFormula>SUM(Tabla1122[[#This Row],[Costo RH]:[Gastos Operativos]])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F229252-F3C3-4C28-900A-5AC3AF54DC0B}" name="Tabla1123" displayName="Tabla1123" ref="A25:H30" totalsRowShown="0" headerRowDxfId="26">
  <autoFilter ref="A25:H30" xr:uid="{1F229252-F3C3-4C28-900A-5AC3AF54DC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12320EE-2025-4828-A997-5A4474B717F3}" name="Actividades" dataDxfId="25"/>
    <tableColumn id="2" xr3:uid="{42C02172-8DF7-49CB-AFB9-1508A1B609CB}" name="Responsable" dataDxfId="24"/>
    <tableColumn id="3" xr3:uid="{888C708B-E5A5-4BD3-9FFD-A84606526998}" name="Horas" dataDxfId="23"/>
    <tableColumn id="4" xr3:uid="{62F52C05-D8DD-4354-8A41-40CC1AA2802F}" name="Rol desempeñado" dataDxfId="22"/>
    <tableColumn id="5" xr3:uid="{7FCD9857-B043-42DD-A563-08F0961C14AD}" name="Costo RH" dataDxfId="21">
      <calculatedColumnFormula>Tabla1123[[#This Row],[Horas]]*O9</calculatedColumnFormula>
    </tableColumn>
    <tableColumn id="6" xr3:uid="{60C879A1-7C3E-447C-BA7E-A530C215983B}" name="Costo material" dataDxfId="20">
      <calculatedColumnFormula>Tabla1123[[#This Row],[Horas]]*K7</calculatedColumnFormula>
    </tableColumn>
    <tableColumn id="7" xr3:uid="{4668285F-A74F-4F7A-9A0C-31C06BBA159A}" name="Gastos Operativos" dataDxfId="19">
      <calculatedColumnFormula>Tabla1123[[#This Row],[Horas]]*K5</calculatedColumnFormula>
    </tableColumn>
    <tableColumn id="8" xr3:uid="{13236633-23E5-4F0F-A075-468F5A46C419}" name="Subtotal" dataDxfId="18">
      <calculatedColumnFormula>SUM(Tabla1123[[#This Row],[Costo RH]:[Gastos Operativos]])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3D9EC13-0CF8-4884-81EA-9FE7A121A705}" name="Tabla112226" displayName="Tabla112226" ref="A33:H38" totalsRowShown="0" headerRowDxfId="17">
  <autoFilter ref="A33:H38" xr:uid="{A3D9EC13-0CF8-4884-81EA-9FE7A121A7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390EAE6-A51C-4A73-A210-E6F535DCC13C}" name="Actividades" dataDxfId="16"/>
    <tableColumn id="2" xr3:uid="{158605DB-C981-40FA-AED0-2C1C5694229E}" name="Responsable" dataDxfId="15"/>
    <tableColumn id="3" xr3:uid="{AFF5E7D0-F03A-45E7-A224-1D4DFF2A88F2}" name="Horas" dataDxfId="14"/>
    <tableColumn id="4" xr3:uid="{15DF688C-4BB1-4FEF-84D9-71B23158DD25}" name="Rol desempeñado" dataDxfId="13"/>
    <tableColumn id="5" xr3:uid="{5DDE8704-A35E-4E40-8D6F-180AF9F27868}" name="Costo RH" dataDxfId="12">
      <calculatedColumnFormula>4*SUM(O14,O9)</calculatedColumnFormula>
    </tableColumn>
    <tableColumn id="6" xr3:uid="{63040757-F080-4E3B-AC4E-719F27A2904D}" name="Costo material" dataDxfId="11">
      <calculatedColumnFormula>3*Tabla112226[[#This Row],[Horas]]*K6</calculatedColumnFormula>
    </tableColumn>
    <tableColumn id="7" xr3:uid="{DCFE8E96-09C2-470B-A800-4A64A4F0669F}" name="Gastos Operativos" dataDxfId="10">
      <calculatedColumnFormula>2*Tabla112226[[#This Row],[Horas]]*K5</calculatedColumnFormula>
    </tableColumn>
    <tableColumn id="8" xr3:uid="{EAF339F8-C6B3-493D-92FB-304F58C0225F}" name="Subtotal" dataDxfId="9" dataCellStyle="Moneda">
      <calculatedColumnFormula>SUM(Tabla112226[[#This Row],[Costo RH]:[Gastos Operativos]])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D7E5701-1F6C-4E46-8F18-76D8C501FDFF}" name="Tabla1127" displayName="Tabla1127" ref="A41:H49" totalsRowShown="0" headerRowDxfId="8">
  <autoFilter ref="A41:H49" xr:uid="{AD7E5701-1F6C-4E46-8F18-76D8C501FD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ABA18B3-663B-43D0-AF81-3ED8CCC815EC}" name="Actividades" dataDxfId="7"/>
    <tableColumn id="2" xr3:uid="{0DBB9407-31ED-4709-BDB9-CEF692752C54}" name="Responsable" dataDxfId="6"/>
    <tableColumn id="3" xr3:uid="{D9684D93-6156-4DC4-A0CA-33F5C5654852}" name="Horas" dataDxfId="5"/>
    <tableColumn id="4" xr3:uid="{DEE6E358-E269-4A10-94AE-C85DD61C1B2A}" name="Rol desempeñado" dataDxfId="4"/>
    <tableColumn id="5" xr3:uid="{956500F8-D000-4052-9342-6110ED072B3A}" name="Costo RH" dataDxfId="3">
      <calculatedColumnFormula>Tabla1127[[#This Row],[Horas]]*O5</calculatedColumnFormula>
    </tableColumn>
    <tableColumn id="6" xr3:uid="{EDDB99CC-7740-4DDE-8BD2-19CF24AEE7EE}" name="Costo material" dataDxfId="2"/>
    <tableColumn id="7" xr3:uid="{BC0EC4B7-4DA3-4535-A58A-CE3B725915E9}" name="Gastos Operativos" dataDxfId="1"/>
    <tableColumn id="8" xr3:uid="{FDA5602C-984F-43F1-8D97-11F9E609D35C}" name="Sub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topLeftCell="A17" workbookViewId="0">
      <selection activeCell="E43" sqref="E43"/>
    </sheetView>
  </sheetViews>
  <sheetFormatPr defaultColWidth="9.140625" defaultRowHeight="14.25"/>
  <cols>
    <col min="2" max="2" width="34" customWidth="1"/>
    <col min="3" max="3" width="73.42578125" customWidth="1"/>
    <col min="4" max="9" width="12" customWidth="1"/>
  </cols>
  <sheetData>
    <row r="2" spans="2:3" ht="89.45" customHeight="1"/>
    <row r="3" spans="2:3">
      <c r="B3" t="s">
        <v>0</v>
      </c>
      <c r="C3" t="s">
        <v>1</v>
      </c>
    </row>
    <row r="4" spans="2:3" ht="15">
      <c r="B4" s="7" t="s">
        <v>2</v>
      </c>
      <c r="C4" s="19">
        <v>1</v>
      </c>
    </row>
    <row r="5" spans="2:3" ht="15">
      <c r="B5" s="7" t="s">
        <v>3</v>
      </c>
      <c r="C5" s="20">
        <v>46035</v>
      </c>
    </row>
    <row r="6" spans="2:3">
      <c r="B6" s="7" t="s">
        <v>4</v>
      </c>
      <c r="C6" s="19">
        <v>4</v>
      </c>
    </row>
    <row r="7" spans="2:3" ht="15">
      <c r="B7" s="7" t="s">
        <v>5</v>
      </c>
      <c r="C7" t="s">
        <v>6</v>
      </c>
    </row>
    <row r="8" spans="2:3">
      <c r="C8" t="s">
        <v>7</v>
      </c>
    </row>
    <row r="9" spans="2:3">
      <c r="C9" t="s">
        <v>8</v>
      </c>
    </row>
    <row r="11" spans="2:3" ht="15">
      <c r="B11" t="s">
        <v>9</v>
      </c>
      <c r="C11" t="s">
        <v>10</v>
      </c>
    </row>
    <row r="12" spans="2:3">
      <c r="B12" t="s">
        <v>11</v>
      </c>
      <c r="C12">
        <v>2</v>
      </c>
    </row>
    <row r="13" spans="2:3">
      <c r="B13" t="s">
        <v>12</v>
      </c>
      <c r="C13">
        <v>1</v>
      </c>
    </row>
    <row r="14" spans="2:3">
      <c r="B14" s="7" t="s">
        <v>13</v>
      </c>
      <c r="C14" s="7">
        <f>SUM(C12:C13)</f>
        <v>3</v>
      </c>
    </row>
    <row r="16" spans="2:3" ht="15">
      <c r="B16" t="s">
        <v>14</v>
      </c>
      <c r="C16" t="s">
        <v>10</v>
      </c>
    </row>
    <row r="17" spans="2:3">
      <c r="B17" t="s">
        <v>15</v>
      </c>
      <c r="C17">
        <v>3</v>
      </c>
    </row>
    <row r="18" spans="2:3" ht="15">
      <c r="B18" s="7" t="s">
        <v>16</v>
      </c>
      <c r="C18" s="7">
        <f>C17*C14</f>
        <v>9</v>
      </c>
    </row>
    <row r="20" spans="2:3" ht="15">
      <c r="B20" t="s">
        <v>17</v>
      </c>
      <c r="C20" t="s">
        <v>18</v>
      </c>
    </row>
    <row r="21" spans="2:3" ht="15">
      <c r="B21" t="s">
        <v>19</v>
      </c>
      <c r="C21">
        <v>16</v>
      </c>
    </row>
    <row r="22" spans="2:3" ht="15">
      <c r="B22" s="7" t="s">
        <v>20</v>
      </c>
      <c r="C22" s="7">
        <f>C21*C18</f>
        <v>144</v>
      </c>
    </row>
    <row r="23" spans="2:3" ht="15">
      <c r="B23" s="7" t="s">
        <v>21</v>
      </c>
      <c r="C23" s="7">
        <f>C22*3</f>
        <v>432</v>
      </c>
    </row>
  </sheetData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3BB5-4B61-43C4-8ABE-122D73D957C2}">
  <dimension ref="A1:G24"/>
  <sheetViews>
    <sheetView workbookViewId="0">
      <selection activeCell="D15" sqref="D15"/>
    </sheetView>
  </sheetViews>
  <sheetFormatPr defaultColWidth="11.42578125" defaultRowHeight="14.25"/>
  <cols>
    <col min="2" max="2" width="28" customWidth="1"/>
    <col min="3" max="3" width="24.140625" customWidth="1"/>
    <col min="4" max="4" width="16.140625" customWidth="1"/>
    <col min="6" max="6" width="20.28515625" bestFit="1" customWidth="1"/>
    <col min="7" max="7" width="16.5703125" customWidth="1"/>
  </cols>
  <sheetData>
    <row r="1" spans="1:7" ht="28.5">
      <c r="A1" s="10" t="s">
        <v>22</v>
      </c>
    </row>
    <row r="2" spans="1:7" ht="15">
      <c r="B2" s="55" t="s">
        <v>23</v>
      </c>
      <c r="C2" s="55" t="s">
        <v>24</v>
      </c>
      <c r="D2" s="55" t="s">
        <v>25</v>
      </c>
      <c r="G2" s="55"/>
    </row>
    <row r="3" spans="1:7" ht="15">
      <c r="B3" s="1" t="s">
        <v>6</v>
      </c>
      <c r="C3" s="1" t="s">
        <v>26</v>
      </c>
      <c r="D3" s="16">
        <v>20</v>
      </c>
      <c r="G3" s="34"/>
    </row>
    <row r="4" spans="1:7" ht="15">
      <c r="B4" s="1"/>
      <c r="C4" s="1" t="s">
        <v>27</v>
      </c>
      <c r="D4" s="16">
        <v>30</v>
      </c>
      <c r="G4" s="34"/>
    </row>
    <row r="5" spans="1:7" ht="15">
      <c r="B5" s="1"/>
      <c r="C5" s="19" t="s">
        <v>28</v>
      </c>
      <c r="D5" s="16">
        <v>30</v>
      </c>
      <c r="G5" s="34"/>
    </row>
    <row r="7" spans="1:7" ht="15">
      <c r="B7" s="55" t="s">
        <v>23</v>
      </c>
      <c r="C7" s="55" t="s">
        <v>24</v>
      </c>
      <c r="D7" s="55" t="s">
        <v>25</v>
      </c>
    </row>
    <row r="8" spans="1:7" ht="15">
      <c r="B8" s="1" t="s">
        <v>7</v>
      </c>
      <c r="C8" s="1" t="s">
        <v>26</v>
      </c>
      <c r="D8" s="16">
        <v>15</v>
      </c>
    </row>
    <row r="9" spans="1:7" ht="15">
      <c r="B9" s="1"/>
      <c r="C9" s="1" t="s">
        <v>29</v>
      </c>
      <c r="D9" s="16">
        <v>25</v>
      </c>
    </row>
    <row r="10" spans="1:7" ht="15">
      <c r="B10" s="19"/>
      <c r="C10" s="19" t="s">
        <v>28</v>
      </c>
      <c r="D10" s="16">
        <v>25</v>
      </c>
    </row>
    <row r="12" spans="1:7" ht="15">
      <c r="B12" s="55" t="s">
        <v>23</v>
      </c>
      <c r="C12" s="55" t="s">
        <v>24</v>
      </c>
      <c r="D12" s="55" t="s">
        <v>25</v>
      </c>
    </row>
    <row r="13" spans="1:7" ht="15">
      <c r="B13" s="35" t="s">
        <v>8</v>
      </c>
      <c r="C13" s="1" t="s">
        <v>26</v>
      </c>
      <c r="D13" s="16">
        <v>15</v>
      </c>
    </row>
    <row r="14" spans="1:7" ht="15">
      <c r="B14" s="1"/>
      <c r="C14" s="19" t="s">
        <v>28</v>
      </c>
      <c r="D14" s="16">
        <v>25</v>
      </c>
    </row>
    <row r="15" spans="1:7" ht="15">
      <c r="B15" s="1"/>
      <c r="C15" s="1"/>
      <c r="D15" s="16"/>
    </row>
    <row r="23" spans="3:3">
      <c r="C23" s="12"/>
    </row>
    <row r="24" spans="3:3">
      <c r="C24" s="12"/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2064-6FFD-406B-9FB6-1FD89CAFA632}">
  <dimension ref="A2:J44"/>
  <sheetViews>
    <sheetView topLeftCell="A18" zoomScaleNormal="100" workbookViewId="0">
      <selection activeCell="C44" sqref="C44"/>
    </sheetView>
  </sheetViews>
  <sheetFormatPr defaultColWidth="11.42578125" defaultRowHeight="14.25"/>
  <cols>
    <col min="2" max="2" width="48.140625" customWidth="1"/>
    <col min="3" max="3" width="14.140625" customWidth="1"/>
    <col min="4" max="5" width="14.5703125" customWidth="1"/>
    <col min="6" max="6" width="8.7109375" customWidth="1"/>
    <col min="7" max="8" width="9.85546875" bestFit="1" customWidth="1"/>
    <col min="9" max="9" width="32.28515625" bestFit="1" customWidth="1"/>
    <col min="10" max="10" width="27.85546875" customWidth="1"/>
    <col min="12" max="12" width="27.5703125" customWidth="1"/>
    <col min="13" max="13" width="25" customWidth="1"/>
  </cols>
  <sheetData>
    <row r="2" spans="1:10" ht="28.5">
      <c r="A2" s="10" t="s">
        <v>30</v>
      </c>
    </row>
    <row r="3" spans="1:10" ht="30.2">
      <c r="B3" s="55" t="s">
        <v>31</v>
      </c>
      <c r="C3" s="55" t="s">
        <v>32</v>
      </c>
      <c r="D3" s="55" t="s">
        <v>33</v>
      </c>
      <c r="E3" s="55" t="s">
        <v>34</v>
      </c>
      <c r="F3" s="55" t="s">
        <v>35</v>
      </c>
      <c r="G3" s="55" t="s">
        <v>36</v>
      </c>
      <c r="H3" s="55" t="s">
        <v>37</v>
      </c>
      <c r="I3" s="55"/>
    </row>
    <row r="4" spans="1:10" ht="15">
      <c r="B4" s="2" t="s">
        <v>38</v>
      </c>
      <c r="C4" s="19">
        <f t="shared" ref="C4" si="0">7500/1000</f>
        <v>7.5</v>
      </c>
      <c r="D4" s="19">
        <f>Tabla2[[#This Row],[Consumo diario]]*3</f>
        <v>22.5</v>
      </c>
      <c r="E4" s="19">
        <f>Tabla2[[#This Row],[Consumo semanal]]*4</f>
        <v>90</v>
      </c>
      <c r="F4" s="21">
        <f>Tabla2[[#This Row],[Consumo diario]]*0.1</f>
        <v>0.75</v>
      </c>
      <c r="G4" s="21">
        <f>Tabla2[[#This Row],[Consumo semanal]]*0.1</f>
        <v>2.25</v>
      </c>
      <c r="H4" s="21">
        <f>Tabla2[[#This Row],[Consumo mensual]]*0.1</f>
        <v>9</v>
      </c>
    </row>
    <row r="5" spans="1:10" ht="15">
      <c r="B5" s="2" t="s">
        <v>39</v>
      </c>
      <c r="C5" s="19">
        <f>80/1000</f>
        <v>0.08</v>
      </c>
      <c r="D5" s="19">
        <f>Tabla2[[#This Row],[Consumo diario]]*3</f>
        <v>0.24</v>
      </c>
      <c r="E5" s="19">
        <f>Tabla2[[#This Row],[Consumo semanal]]*4</f>
        <v>0.96</v>
      </c>
      <c r="F5" s="21">
        <f>(Tabla2[[#This Row],[Consumo diario]]*0.31)+(Tabla2[[#This Row],[Consumo diario]]*0.31*0.4)+0.19</f>
        <v>0.22472</v>
      </c>
      <c r="G5" s="21">
        <f>(Tabla2[[#This Row],[Consumo semanal]]*0.31)+(Tabla2[[#This Row],[Consumo semanal]]*0.31*0.4)+0.56</f>
        <v>0.66416000000000008</v>
      </c>
      <c r="H5" s="21">
        <f>(Tabla2[[#This Row],[Consumo mensual]]*0.31)+0.78+(Tabla2[[#This Row],[Consumo mensual]]*0.31*0.4)+1.3+0.15</f>
        <v>2.6466400000000001</v>
      </c>
    </row>
    <row r="6" spans="1:10" ht="15">
      <c r="B6" s="2" t="s">
        <v>40</v>
      </c>
      <c r="C6" s="22" t="s">
        <v>41</v>
      </c>
      <c r="D6" s="22" t="s">
        <v>41</v>
      </c>
      <c r="E6" s="22" t="s">
        <v>41</v>
      </c>
      <c r="F6" s="21">
        <f>Tabla2[[#This Row],[Costo semanal]]/3</f>
        <v>2.5833333333333335</v>
      </c>
      <c r="G6" s="21">
        <f>Tabla2[[#This Row],[Costo mensual]]/4</f>
        <v>7.75</v>
      </c>
      <c r="H6" s="21">
        <v>31</v>
      </c>
    </row>
    <row r="7" spans="1:10" ht="15">
      <c r="B7" s="23" t="s">
        <v>42</v>
      </c>
      <c r="C7" s="24"/>
      <c r="D7" s="24"/>
      <c r="E7" s="24"/>
      <c r="F7" s="25">
        <f>SUM(F4:F6)</f>
        <v>3.5580533333333335</v>
      </c>
      <c r="G7" s="25">
        <f t="shared" ref="G7:H7" si="1">SUM(G4:G6)</f>
        <v>10.664159999999999</v>
      </c>
      <c r="H7" s="25">
        <f t="shared" si="1"/>
        <v>42.646639999999998</v>
      </c>
    </row>
    <row r="8" spans="1:10" ht="16.5">
      <c r="J8" s="4"/>
    </row>
    <row r="9" spans="1:10" ht="30.2">
      <c r="B9" s="55" t="s">
        <v>43</v>
      </c>
      <c r="C9" s="55" t="s">
        <v>32</v>
      </c>
      <c r="D9" s="55" t="s">
        <v>33</v>
      </c>
      <c r="E9" s="55" t="s">
        <v>34</v>
      </c>
      <c r="F9" s="55" t="s">
        <v>35</v>
      </c>
      <c r="G9" s="55" t="s">
        <v>36</v>
      </c>
      <c r="H9" s="55" t="s">
        <v>37</v>
      </c>
    </row>
    <row r="10" spans="1:10" ht="15">
      <c r="B10" s="2" t="s">
        <v>38</v>
      </c>
      <c r="C10" s="19">
        <f t="shared" ref="C10" si="2">C4*3</f>
        <v>22.5</v>
      </c>
      <c r="D10" s="19">
        <f>D4*3</f>
        <v>67.5</v>
      </c>
      <c r="E10" s="19">
        <f>E4*3</f>
        <v>270</v>
      </c>
      <c r="F10" s="21">
        <f t="shared" ref="F10:F13" si="3">SUM(F7:F9)</f>
        <v>3.5580533333333335</v>
      </c>
      <c r="G10" s="21">
        <f t="shared" ref="G10:H12" si="4">G4*3</f>
        <v>6.75</v>
      </c>
      <c r="H10" s="21">
        <f t="shared" si="4"/>
        <v>27</v>
      </c>
    </row>
    <row r="11" spans="1:10" ht="15">
      <c r="B11" s="2" t="s">
        <v>39</v>
      </c>
      <c r="C11" s="19">
        <f>C5*3</f>
        <v>0.24</v>
      </c>
      <c r="D11" s="19">
        <f>D5*3</f>
        <v>0.72</v>
      </c>
      <c r="E11" s="19">
        <f>E5*3</f>
        <v>2.88</v>
      </c>
      <c r="F11" s="21">
        <f t="shared" si="3"/>
        <v>3.5580533333333335</v>
      </c>
      <c r="G11" s="21">
        <f t="shared" si="4"/>
        <v>1.9924800000000003</v>
      </c>
      <c r="H11" s="21">
        <f t="shared" si="4"/>
        <v>7.9399200000000008</v>
      </c>
    </row>
    <row r="12" spans="1:10" ht="15">
      <c r="B12" s="2" t="s">
        <v>40</v>
      </c>
      <c r="C12" s="22" t="s">
        <v>41</v>
      </c>
      <c r="D12" s="22" t="s">
        <v>41</v>
      </c>
      <c r="E12" s="22" t="s">
        <v>41</v>
      </c>
      <c r="F12" s="21">
        <f t="shared" si="3"/>
        <v>7.116106666666667</v>
      </c>
      <c r="G12" s="21">
        <f t="shared" si="4"/>
        <v>23.25</v>
      </c>
      <c r="H12" s="21">
        <f t="shared" si="4"/>
        <v>93</v>
      </c>
    </row>
    <row r="13" spans="1:10" ht="15">
      <c r="B13" s="23" t="s">
        <v>44</v>
      </c>
      <c r="C13" s="24"/>
      <c r="D13" s="24"/>
      <c r="E13" s="24"/>
      <c r="F13" s="25">
        <f t="shared" si="3"/>
        <v>14.232213333333334</v>
      </c>
      <c r="G13" s="25">
        <f t="shared" ref="G13" si="5">SUM(G10:G12)</f>
        <v>31.99248</v>
      </c>
      <c r="H13" s="25">
        <f t="shared" ref="H13" si="6">SUM(H10:H12)</f>
        <v>127.93992</v>
      </c>
    </row>
    <row r="15" spans="1:10" ht="30.2">
      <c r="B15" s="1" t="s">
        <v>45</v>
      </c>
      <c r="C15" s="1" t="s">
        <v>46</v>
      </c>
      <c r="D15" s="1" t="s">
        <v>25</v>
      </c>
    </row>
    <row r="16" spans="1:10" ht="15">
      <c r="B16" s="2" t="s">
        <v>38</v>
      </c>
      <c r="C16" s="26">
        <f>C4/3</f>
        <v>2.5</v>
      </c>
      <c r="D16" s="5">
        <f>Tabla3[[#This Row],[Consumo * hora]]*0.1</f>
        <v>0.25</v>
      </c>
      <c r="E16" s="6"/>
    </row>
    <row r="17" spans="1:8" ht="15">
      <c r="B17" s="2" t="s">
        <v>39</v>
      </c>
      <c r="C17" s="27">
        <f>C5/3</f>
        <v>2.6666666666666668E-2</v>
      </c>
      <c r="D17" s="5">
        <f>(Tabla3[[#This Row],[Consumo * hora]]*0.31)+(Tabla3[[#This Row],[Consumo * hora]]*0.31*0.4)+0.0619444</f>
        <v>7.3517733333333335E-2</v>
      </c>
      <c r="E17" s="6"/>
    </row>
    <row r="18" spans="1:8" ht="15">
      <c r="B18" s="2" t="s">
        <v>40</v>
      </c>
      <c r="C18" s="28" t="s">
        <v>41</v>
      </c>
      <c r="D18" s="31">
        <f>F6/3</f>
        <v>0.86111111111111116</v>
      </c>
      <c r="E18" s="8"/>
    </row>
    <row r="19" spans="1:8" ht="15">
      <c r="B19" s="23" t="s">
        <v>47</v>
      </c>
      <c r="C19" s="29"/>
      <c r="D19" s="30">
        <f>SUM(D16:D18)</f>
        <v>1.1846288444444446</v>
      </c>
    </row>
    <row r="21" spans="1:8" ht="28.5">
      <c r="A21" s="10" t="s">
        <v>48</v>
      </c>
    </row>
    <row r="23" spans="1:8" ht="15">
      <c r="B23" t="s">
        <v>49</v>
      </c>
    </row>
    <row r="24" spans="1:8" ht="15">
      <c r="B24" t="s">
        <v>50</v>
      </c>
    </row>
    <row r="25" spans="1:8">
      <c r="B25" t="s">
        <v>51</v>
      </c>
    </row>
    <row r="26" spans="1:8">
      <c r="B26" t="s">
        <v>52</v>
      </c>
    </row>
    <row r="27" spans="1:8" ht="15">
      <c r="B27" t="s">
        <v>53</v>
      </c>
    </row>
    <row r="28" spans="1:8" ht="15">
      <c r="B28" t="s">
        <v>54</v>
      </c>
    </row>
    <row r="29" spans="1:8" s="1" customFormat="1" ht="15">
      <c r="A29"/>
      <c r="B29"/>
      <c r="C29"/>
      <c r="D29"/>
      <c r="E29"/>
      <c r="F29"/>
      <c r="G29"/>
      <c r="H29"/>
    </row>
    <row r="30" spans="1:8" ht="19.149999999999999">
      <c r="B30" s="9" t="s">
        <v>55</v>
      </c>
    </row>
    <row r="31" spans="1:8" ht="28.5">
      <c r="A31" s="1"/>
      <c r="B31" s="1" t="s">
        <v>56</v>
      </c>
      <c r="C31" s="1" t="s">
        <v>57</v>
      </c>
      <c r="D31" s="1" t="s">
        <v>58</v>
      </c>
      <c r="E31" s="1" t="s">
        <v>59</v>
      </c>
      <c r="F31" s="1" t="s">
        <v>60</v>
      </c>
      <c r="G31" s="1" t="s">
        <v>61</v>
      </c>
      <c r="H31" s="1"/>
    </row>
    <row r="32" spans="1:8" ht="15">
      <c r="B32" t="s">
        <v>62</v>
      </c>
      <c r="C32" s="5">
        <v>800</v>
      </c>
      <c r="D32">
        <v>36</v>
      </c>
      <c r="E32" s="11">
        <f>C32/D32</f>
        <v>22.222222222222221</v>
      </c>
      <c r="F32">
        <v>4</v>
      </c>
      <c r="G32" s="5">
        <f>F32*E32</f>
        <v>88.888888888888886</v>
      </c>
    </row>
    <row r="33" spans="2:7">
      <c r="B33" t="s">
        <v>63</v>
      </c>
      <c r="C33" s="5">
        <v>800</v>
      </c>
      <c r="D33">
        <v>36</v>
      </c>
      <c r="E33" s="11">
        <f t="shared" ref="E33:E34" si="7">C33/D33</f>
        <v>22.222222222222221</v>
      </c>
      <c r="F33">
        <v>4</v>
      </c>
      <c r="G33" s="5">
        <f t="shared" ref="G33:G34" si="8">F33*E33</f>
        <v>88.888888888888886</v>
      </c>
    </row>
    <row r="34" spans="2:7">
      <c r="B34" t="s">
        <v>64</v>
      </c>
      <c r="C34" s="5">
        <v>800</v>
      </c>
      <c r="D34">
        <v>36</v>
      </c>
      <c r="E34" s="11">
        <f t="shared" si="7"/>
        <v>22.222222222222221</v>
      </c>
      <c r="F34">
        <v>4</v>
      </c>
      <c r="G34" s="5">
        <f t="shared" si="8"/>
        <v>88.888888888888886</v>
      </c>
    </row>
    <row r="35" spans="2:7">
      <c r="B35" s="17" t="s">
        <v>65</v>
      </c>
      <c r="C35" s="17"/>
      <c r="D35" s="17"/>
      <c r="E35" s="17"/>
      <c r="F35" s="17"/>
      <c r="G35" s="18">
        <f>SUM(G32:G34)</f>
        <v>266.66666666666663</v>
      </c>
    </row>
    <row r="38" spans="2:7">
      <c r="B38" t="s">
        <v>66</v>
      </c>
    </row>
    <row r="40" spans="2:7">
      <c r="B40" s="56" t="s">
        <v>67</v>
      </c>
      <c r="C40" s="56"/>
    </row>
    <row r="41" spans="2:7">
      <c r="B41" s="33" t="s">
        <v>68</v>
      </c>
      <c r="C41" s="32">
        <f>G32/4</f>
        <v>22.222222222222221</v>
      </c>
    </row>
    <row r="42" spans="2:7">
      <c r="B42" s="33" t="s">
        <v>69</v>
      </c>
      <c r="C42" s="32">
        <f>C41/4</f>
        <v>5.5555555555555554</v>
      </c>
    </row>
    <row r="43" spans="2:7">
      <c r="B43" s="33" t="s">
        <v>70</v>
      </c>
      <c r="C43" s="32">
        <f>C42/3</f>
        <v>1.8518518518518519</v>
      </c>
    </row>
    <row r="44" spans="2:7">
      <c r="B44" s="33" t="s">
        <v>71</v>
      </c>
      <c r="C44" s="32">
        <f>C43/3</f>
        <v>0.61728395061728392</v>
      </c>
    </row>
  </sheetData>
  <mergeCells count="1">
    <mergeCell ref="B40:C40"/>
  </mergeCells>
  <phoneticPr fontId="10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A7F6-ED61-49EE-ACFD-334AECD3B8E0}">
  <dimension ref="A1:Q59"/>
  <sheetViews>
    <sheetView tabSelected="1" topLeftCell="A31" zoomScale="75" zoomScaleNormal="100" workbookViewId="0">
      <selection activeCell="J27" sqref="J27"/>
    </sheetView>
  </sheetViews>
  <sheetFormatPr defaultColWidth="11.42578125" defaultRowHeight="14.25"/>
  <cols>
    <col min="1" max="1" width="45.85546875" customWidth="1"/>
    <col min="2" max="2" width="16.28515625" style="19" customWidth="1"/>
    <col min="3" max="3" width="10.42578125" style="19" customWidth="1"/>
    <col min="4" max="4" width="18.140625" style="19" customWidth="1"/>
    <col min="5" max="5" width="12.5703125" style="19" customWidth="1"/>
    <col min="6" max="6" width="12.140625" style="19" customWidth="1"/>
    <col min="7" max="8" width="11.85546875" style="19" customWidth="1"/>
    <col min="9" max="9" width="12.140625" customWidth="1"/>
    <col min="10" max="10" width="22.85546875" customWidth="1"/>
    <col min="11" max="11" width="12" customWidth="1"/>
    <col min="12" max="12" width="11.5703125" customWidth="1"/>
    <col min="13" max="13" width="14.85546875" bestFit="1" customWidth="1"/>
    <col min="14" max="14" width="21.85546875" bestFit="1" customWidth="1"/>
    <col min="15" max="15" width="16.42578125" bestFit="1" customWidth="1"/>
    <col min="16" max="16" width="8.28515625" customWidth="1"/>
    <col min="17" max="17" width="12.7109375" customWidth="1"/>
  </cols>
  <sheetData>
    <row r="1" spans="1:17" ht="33" customHeight="1">
      <c r="A1" s="58" t="s">
        <v>72</v>
      </c>
      <c r="B1" s="58"/>
      <c r="C1" s="58"/>
      <c r="D1" s="58"/>
      <c r="E1" s="58"/>
      <c r="F1" s="58"/>
      <c r="G1" s="58"/>
      <c r="H1" s="58"/>
      <c r="I1" s="3"/>
      <c r="J1" s="12"/>
      <c r="K1" s="12"/>
      <c r="L1" s="12"/>
      <c r="M1" s="12"/>
      <c r="N1" s="12"/>
      <c r="O1" s="12"/>
      <c r="P1" s="12"/>
      <c r="Q1" s="12"/>
    </row>
    <row r="2" spans="1:17" ht="21.2" customHeight="1">
      <c r="A2" s="57" t="s">
        <v>73</v>
      </c>
      <c r="B2" s="57"/>
      <c r="C2" s="57"/>
      <c r="D2" s="57"/>
      <c r="E2" s="57"/>
      <c r="F2" s="57"/>
      <c r="G2" s="57"/>
      <c r="H2" s="57"/>
      <c r="I2" s="3"/>
      <c r="J2" s="12"/>
      <c r="K2" s="12"/>
      <c r="L2" s="12"/>
      <c r="M2" s="12"/>
      <c r="N2" s="12"/>
      <c r="O2" s="12"/>
      <c r="P2" s="12"/>
      <c r="Q2" s="12"/>
    </row>
    <row r="3" spans="1:17" ht="28.5">
      <c r="A3" s="38" t="s">
        <v>74</v>
      </c>
      <c r="B3" s="38" t="s">
        <v>75</v>
      </c>
      <c r="C3" s="38" t="s">
        <v>76</v>
      </c>
      <c r="D3" s="38" t="s">
        <v>77</v>
      </c>
      <c r="E3" s="38" t="s">
        <v>78</v>
      </c>
      <c r="F3" s="38" t="s">
        <v>79</v>
      </c>
      <c r="G3" s="38" t="s">
        <v>80</v>
      </c>
      <c r="H3" s="38" t="s">
        <v>61</v>
      </c>
      <c r="J3" s="55"/>
      <c r="M3" s="55" t="s">
        <v>23</v>
      </c>
      <c r="N3" s="55" t="s">
        <v>24</v>
      </c>
      <c r="O3" s="55" t="s">
        <v>25</v>
      </c>
    </row>
    <row r="4" spans="1:17" ht="15">
      <c r="A4" s="12" t="s">
        <v>81</v>
      </c>
      <c r="B4" s="1" t="s">
        <v>82</v>
      </c>
      <c r="C4" s="1">
        <v>4</v>
      </c>
      <c r="D4" s="1" t="s">
        <v>83</v>
      </c>
      <c r="E4" s="34">
        <f>Tabla11[[#This Row],[Horas]]*SUM(O4,O9,O14)</f>
        <v>200</v>
      </c>
      <c r="F4" s="34">
        <f>3*Tabla11[[#This Row],[Horas]]*K7</f>
        <v>7.4074074074074066</v>
      </c>
      <c r="G4" s="34">
        <f>3*Tabla11[[#This Row],[Horas]]*K5</f>
        <v>14.215546133333335</v>
      </c>
      <c r="H4" s="45">
        <f>SUM(Tabla11[[#This Row],[Costo RH]:[Gastos Operativos]])</f>
        <v>221.62295354074075</v>
      </c>
      <c r="J4" s="2"/>
      <c r="M4" s="1" t="s">
        <v>6</v>
      </c>
      <c r="N4" s="1" t="s">
        <v>26</v>
      </c>
      <c r="O4" s="16">
        <v>20</v>
      </c>
    </row>
    <row r="5" spans="1:17" ht="15">
      <c r="A5" s="2" t="s">
        <v>84</v>
      </c>
      <c r="B5" s="1" t="s">
        <v>85</v>
      </c>
      <c r="C5" s="1">
        <v>2</v>
      </c>
      <c r="D5" s="1" t="s">
        <v>83</v>
      </c>
      <c r="E5" s="34">
        <f>Tabla11[[#This Row],[Horas]]*SUM(O4,O14)</f>
        <v>70</v>
      </c>
      <c r="F5" s="34">
        <f>2*Tabla11[[#This Row],[Horas]]*K7</f>
        <v>2.4691358024691357</v>
      </c>
      <c r="G5" s="34">
        <f>2*Tabla11[[#This Row],[Horas]]*K5</f>
        <v>4.7385153777777784</v>
      </c>
      <c r="H5" s="45">
        <f>SUM(Tabla11[[#This Row],[Costo RH]:[Gastos Operativos]])</f>
        <v>77.207651180246913</v>
      </c>
      <c r="J5" s="15" t="s">
        <v>86</v>
      </c>
      <c r="K5" s="36">
        <f>Materiales_Economicos_P1!D19</f>
        <v>1.1846288444444446</v>
      </c>
      <c r="L5" s="12"/>
      <c r="M5" s="1"/>
      <c r="N5" s="1" t="s">
        <v>27</v>
      </c>
      <c r="O5" s="16">
        <v>30</v>
      </c>
      <c r="P5" s="12"/>
      <c r="Q5" s="12"/>
    </row>
    <row r="6" spans="1:17" ht="15">
      <c r="A6" s="2" t="s">
        <v>87</v>
      </c>
      <c r="B6" s="1" t="s">
        <v>88</v>
      </c>
      <c r="C6" s="1">
        <v>2</v>
      </c>
      <c r="D6" s="1" t="s">
        <v>29</v>
      </c>
      <c r="E6" s="34">
        <f>Tabla11[[#This Row],[Horas]]*O10</f>
        <v>50</v>
      </c>
      <c r="F6" s="34">
        <f>Tabla11[[#This Row],[Horas]]*K7</f>
        <v>1.2345679012345678</v>
      </c>
      <c r="G6" s="34">
        <f>1*Tabla11[[#This Row],[Horas]]*K5</f>
        <v>2.3692576888888892</v>
      </c>
      <c r="H6" s="45">
        <f>SUM(Tabla11[[#This Row],[Costo RH]:[Gastos Operativos]])</f>
        <v>53.603825590123456</v>
      </c>
      <c r="J6" s="12"/>
      <c r="K6" s="12"/>
      <c r="L6" s="12"/>
      <c r="M6" s="1"/>
      <c r="N6" s="19" t="s">
        <v>28</v>
      </c>
      <c r="O6" s="16">
        <v>30</v>
      </c>
      <c r="P6" s="12"/>
      <c r="Q6" s="12"/>
    </row>
    <row r="7" spans="1:17" ht="15">
      <c r="A7" s="2" t="s">
        <v>89</v>
      </c>
      <c r="B7" s="1" t="s">
        <v>82</v>
      </c>
      <c r="C7" s="1">
        <v>2</v>
      </c>
      <c r="D7" s="1" t="s">
        <v>83</v>
      </c>
      <c r="E7" s="34">
        <f>Tabla11[[#This Row],[Horas]]*SUM(O4,O9,O14)</f>
        <v>100</v>
      </c>
      <c r="F7" s="34">
        <f>3*Tabla11[[#This Row],[Horas]]*K7</f>
        <v>3.7037037037037033</v>
      </c>
      <c r="G7" s="34">
        <f>3*Tabla11[[#This Row],[Horas]]*K5</f>
        <v>7.1077730666666676</v>
      </c>
      <c r="H7" s="45">
        <f>SUM(Tabla11[[#This Row],[Costo RH]:[Gastos Operativos]])</f>
        <v>110.81147677037038</v>
      </c>
      <c r="J7" s="14" t="s">
        <v>90</v>
      </c>
      <c r="K7" s="37">
        <f>Materiales_Economicos_P1!C44</f>
        <v>0.61728395061728392</v>
      </c>
      <c r="L7" s="12"/>
      <c r="P7" s="12"/>
      <c r="Q7" s="12"/>
    </row>
    <row r="8" spans="1:17" ht="15">
      <c r="A8" s="2" t="s">
        <v>91</v>
      </c>
      <c r="B8" s="1" t="s">
        <v>82</v>
      </c>
      <c r="C8" s="1">
        <v>2</v>
      </c>
      <c r="D8" s="1" t="s">
        <v>92</v>
      </c>
      <c r="E8" s="34">
        <f>Tabla11[[#This Row],[Horas]]*SUM(O5,O10,O14)</f>
        <v>140</v>
      </c>
      <c r="F8" s="34">
        <f>3*Tabla11[[#This Row],[Horas]]*K7</f>
        <v>3.7037037037037033</v>
      </c>
      <c r="G8" s="34">
        <f>3*Tabla11[[#This Row],[Horas]]*K5</f>
        <v>7.1077730666666676</v>
      </c>
      <c r="H8" s="45">
        <f>SUM(Tabla11[[#This Row],[Costo RH]:[Gastos Operativos]])</f>
        <v>150.81147677037038</v>
      </c>
      <c r="J8" s="2"/>
      <c r="K8" s="12"/>
      <c r="L8" s="12"/>
      <c r="M8" s="55" t="s">
        <v>23</v>
      </c>
      <c r="N8" s="55" t="s">
        <v>24</v>
      </c>
      <c r="O8" s="55" t="s">
        <v>25</v>
      </c>
      <c r="P8" s="12"/>
      <c r="Q8" s="12"/>
    </row>
    <row r="9" spans="1:17" ht="15">
      <c r="A9" s="2" t="s">
        <v>93</v>
      </c>
      <c r="B9" s="1" t="s">
        <v>85</v>
      </c>
      <c r="C9" s="1">
        <v>2</v>
      </c>
      <c r="D9" s="1" t="s">
        <v>83</v>
      </c>
      <c r="E9" s="34">
        <f>Tabla11[[#This Row],[Horas]]*SUM(O4,O14)</f>
        <v>70</v>
      </c>
      <c r="F9" s="34">
        <f>2*Tabla11[[#This Row],[Horas]]*K7</f>
        <v>2.4691358024691357</v>
      </c>
      <c r="G9" s="34">
        <f>2*Tabla11[[#This Row],[Horas]]*K5</f>
        <v>4.7385153777777784</v>
      </c>
      <c r="H9" s="45">
        <f>SUM(Tabla11[[#This Row],[Costo RH]:[Gastos Operativos]])</f>
        <v>77.207651180246913</v>
      </c>
      <c r="J9" s="2"/>
      <c r="M9" s="1" t="s">
        <v>7</v>
      </c>
      <c r="N9" s="1" t="s">
        <v>26</v>
      </c>
      <c r="O9" s="16">
        <v>15</v>
      </c>
      <c r="P9" s="12"/>
      <c r="Q9" s="12"/>
    </row>
    <row r="10" spans="1:17" ht="15">
      <c r="A10" s="2" t="s">
        <v>94</v>
      </c>
      <c r="B10" s="1" t="s">
        <v>88</v>
      </c>
      <c r="C10" s="1">
        <v>2</v>
      </c>
      <c r="D10" s="1" t="s">
        <v>29</v>
      </c>
      <c r="E10" s="34">
        <f>Tabla11[[#This Row],[Horas]]*Tabla14820[[#This Row],[Costo * hora]]</f>
        <v>50</v>
      </c>
      <c r="F10" s="34">
        <f>Tabla11[[#This Row],[Horas]]*K7</f>
        <v>1.2345679012345678</v>
      </c>
      <c r="G10" s="34">
        <f>Tabla11[[#This Row],[Horas]]*K5</f>
        <v>2.3692576888888892</v>
      </c>
      <c r="H10" s="45">
        <f>SUM(Tabla11[[#This Row],[Costo RH]:[Gastos Operativos]])</f>
        <v>53.603825590123456</v>
      </c>
      <c r="J10" s="2"/>
      <c r="M10" s="1"/>
      <c r="N10" s="1" t="s">
        <v>29</v>
      </c>
      <c r="O10" s="16">
        <v>25</v>
      </c>
      <c r="P10" s="12"/>
      <c r="Q10" s="12"/>
    </row>
    <row r="11" spans="1:17" ht="15">
      <c r="A11" s="2" t="s">
        <v>95</v>
      </c>
      <c r="B11" s="1" t="s">
        <v>88</v>
      </c>
      <c r="C11" s="1">
        <v>2</v>
      </c>
      <c r="D11" s="1" t="s">
        <v>83</v>
      </c>
      <c r="E11" s="34">
        <f>Tabla11[[#This Row],[Horas]]*O9</f>
        <v>30</v>
      </c>
      <c r="F11" s="34">
        <f>Tabla11[[#This Row],[Horas]]*K7</f>
        <v>1.2345679012345678</v>
      </c>
      <c r="G11" s="34">
        <f>Tabla11[[#This Row],[Horas]]*K5</f>
        <v>2.3692576888888892</v>
      </c>
      <c r="H11" s="45">
        <f>SUM(Tabla11[[#This Row],[Costo RH]:[Gastos Operativos]])</f>
        <v>33.603825590123456</v>
      </c>
      <c r="J11" s="2"/>
      <c r="M11" s="19"/>
      <c r="N11" s="19" t="s">
        <v>28</v>
      </c>
      <c r="O11" s="16">
        <v>25</v>
      </c>
      <c r="P11" s="12"/>
      <c r="Q11" s="12"/>
    </row>
    <row r="12" spans="1:17" ht="15">
      <c r="A12" s="2" t="s">
        <v>96</v>
      </c>
      <c r="B12" s="1" t="s">
        <v>82</v>
      </c>
      <c r="C12" s="1">
        <v>2</v>
      </c>
      <c r="D12" s="1" t="s">
        <v>92</v>
      </c>
      <c r="E12" s="34">
        <f>Tabla11[[#This Row],[Horas]]*SUM(O5,O10,O14)</f>
        <v>140</v>
      </c>
      <c r="F12" s="34">
        <f>3*Tabla11[[#This Row],[Horas]]*K7</f>
        <v>3.7037037037037033</v>
      </c>
      <c r="G12" s="34">
        <f>3*Tabla11[[#This Row],[Horas]]*K5</f>
        <v>7.1077730666666676</v>
      </c>
      <c r="H12" s="45">
        <f>SUM(Tabla11[[#This Row],[Costo RH]:[Gastos Operativos]])</f>
        <v>150.81147677037038</v>
      </c>
      <c r="J12" s="2"/>
      <c r="M12" s="19"/>
      <c r="N12" s="19"/>
      <c r="O12" s="16"/>
      <c r="P12" s="12"/>
      <c r="Q12" s="12"/>
    </row>
    <row r="13" spans="1:17">
      <c r="A13" s="13" t="s">
        <v>97</v>
      </c>
      <c r="B13" s="40"/>
      <c r="C13" s="40"/>
      <c r="D13" s="40"/>
      <c r="E13" s="41"/>
      <c r="F13" s="42"/>
      <c r="G13" s="42"/>
      <c r="H13" s="43">
        <f>SUM(H4:H12)</f>
        <v>929.28416298271623</v>
      </c>
      <c r="J13" s="12"/>
      <c r="K13" s="12"/>
      <c r="L13" s="12"/>
      <c r="M13" s="55" t="s">
        <v>23</v>
      </c>
      <c r="N13" s="55" t="s">
        <v>24</v>
      </c>
      <c r="O13" s="55" t="s">
        <v>25</v>
      </c>
      <c r="P13" s="12"/>
      <c r="Q13" s="12"/>
    </row>
    <row r="14" spans="1:17" ht="15">
      <c r="B14"/>
      <c r="C14"/>
      <c r="D14"/>
      <c r="E14"/>
      <c r="F14"/>
      <c r="G14"/>
      <c r="H14"/>
      <c r="L14" s="12"/>
      <c r="M14" s="35" t="s">
        <v>8</v>
      </c>
      <c r="N14" s="1" t="s">
        <v>26</v>
      </c>
      <c r="O14" s="16">
        <v>15</v>
      </c>
      <c r="P14" s="12"/>
      <c r="Q14" s="12"/>
    </row>
    <row r="15" spans="1:17" ht="15">
      <c r="L15" s="12"/>
      <c r="M15" s="1"/>
      <c r="N15" s="19" t="s">
        <v>28</v>
      </c>
      <c r="O15" s="16">
        <v>25</v>
      </c>
      <c r="P15" s="12"/>
      <c r="Q15" s="12"/>
    </row>
    <row r="16" spans="1:17" ht="15">
      <c r="A16" s="57" t="s">
        <v>98</v>
      </c>
      <c r="B16" s="57"/>
      <c r="C16" s="57"/>
      <c r="D16" s="57"/>
      <c r="E16" s="57"/>
      <c r="F16" s="57"/>
      <c r="G16" s="57"/>
      <c r="H16" s="57"/>
      <c r="P16" s="12"/>
      <c r="Q16" s="12"/>
    </row>
    <row r="17" spans="1:17" ht="28.5">
      <c r="A17" s="38" t="s">
        <v>74</v>
      </c>
      <c r="B17" s="38" t="s">
        <v>75</v>
      </c>
      <c r="C17" s="38" t="s">
        <v>76</v>
      </c>
      <c r="D17" s="38" t="s">
        <v>77</v>
      </c>
      <c r="E17" s="38" t="s">
        <v>78</v>
      </c>
      <c r="F17" s="38" t="s">
        <v>79</v>
      </c>
      <c r="G17" s="38" t="s">
        <v>80</v>
      </c>
      <c r="H17" s="38" t="s">
        <v>61</v>
      </c>
      <c r="N17" s="12"/>
      <c r="O17" s="12"/>
      <c r="P17" s="12"/>
      <c r="Q17" s="12"/>
    </row>
    <row r="18" spans="1:17" ht="15" customHeight="1">
      <c r="A18" s="2" t="s">
        <v>99</v>
      </c>
      <c r="B18" s="1" t="s">
        <v>100</v>
      </c>
      <c r="C18" s="1">
        <v>4</v>
      </c>
      <c r="D18" s="1" t="s">
        <v>83</v>
      </c>
      <c r="E18" s="34">
        <f>Tabla1122[[#This Row],[Horas]]*SUM(O9,O14,O13,O13,O13)</f>
        <v>120</v>
      </c>
      <c r="F18" s="34">
        <f>2*Tabla1122[[#This Row],[Horas]]*K7</f>
        <v>4.9382716049382713</v>
      </c>
      <c r="G18" s="34">
        <f>2*Tabla1122[[#This Row],[Horas]]*K5</f>
        <v>9.4770307555555569</v>
      </c>
      <c r="H18" s="45">
        <f>SUM(Tabla1122[[#This Row],[Costo RH]:[Gastos Operativos]])</f>
        <v>134.41530236049383</v>
      </c>
    </row>
    <row r="19" spans="1:17">
      <c r="A19" s="2" t="s">
        <v>101</v>
      </c>
      <c r="B19" s="1" t="s">
        <v>82</v>
      </c>
      <c r="C19" s="1">
        <v>2</v>
      </c>
      <c r="D19" s="1" t="s">
        <v>92</v>
      </c>
      <c r="E19" s="34">
        <f>SUM(O5,O10,O14)*Tabla1122[[#This Row],[Horas]]</f>
        <v>140</v>
      </c>
      <c r="F19" s="34">
        <f>3*Tabla1122[[#This Row],[Horas]]*K7</f>
        <v>3.7037037037037033</v>
      </c>
      <c r="G19" s="34">
        <f>3*Tabla1122[[#This Row],[Horas]]*K5</f>
        <v>7.1077730666666676</v>
      </c>
      <c r="H19" s="45">
        <f>SUM(Tabla1122[[#This Row],[Costo RH]:[Gastos Operativos]])</f>
        <v>150.81147677037038</v>
      </c>
      <c r="Q19" s="12"/>
    </row>
    <row r="20" spans="1:17" ht="15">
      <c r="A20" s="2" t="s">
        <v>102</v>
      </c>
      <c r="B20" s="1" t="s">
        <v>103</v>
      </c>
      <c r="C20" s="1">
        <v>7</v>
      </c>
      <c r="D20" s="1" t="s">
        <v>83</v>
      </c>
      <c r="E20" s="34">
        <f>Tabla1122[[#This Row],[Horas]]*O4</f>
        <v>140</v>
      </c>
      <c r="F20" s="34">
        <f>Tabla1122[[#This Row],[Horas]]*K7</f>
        <v>4.3209876543209873</v>
      </c>
      <c r="G20" s="34">
        <f>Tabla1122[[#This Row],[Horas]]*K5</f>
        <v>8.2924019111111118</v>
      </c>
      <c r="H20" s="45">
        <f>SUM(Tabla1122[[#This Row],[Costo RH]:[Gastos Operativos]])</f>
        <v>152.6133895654321</v>
      </c>
      <c r="Q20" s="12"/>
    </row>
    <row r="21" spans="1:17">
      <c r="A21" s="12" t="s">
        <v>104</v>
      </c>
      <c r="B21" s="1" t="s">
        <v>103</v>
      </c>
      <c r="C21" s="1">
        <v>4</v>
      </c>
      <c r="D21" s="1" t="s">
        <v>83</v>
      </c>
      <c r="E21" s="39">
        <f>Tabla1122[[#This Row],[Horas]]*O4</f>
        <v>80</v>
      </c>
      <c r="F21" s="34">
        <f>Tabla1122[[#This Row],[Horas]]*K7</f>
        <v>2.4691358024691357</v>
      </c>
      <c r="G21" s="34">
        <f>Tabla1122[[#This Row],[Horas]]*K5</f>
        <v>4.7385153777777784</v>
      </c>
      <c r="H21" s="16">
        <f>SUM(Tabla1122[[#This Row],[Costo RH]:[Gastos Operativos]])</f>
        <v>87.207651180246913</v>
      </c>
      <c r="Q21" s="12"/>
    </row>
    <row r="22" spans="1:17">
      <c r="A22" s="13" t="s">
        <v>105</v>
      </c>
      <c r="B22" s="40"/>
      <c r="C22" s="40"/>
      <c r="D22" s="40"/>
      <c r="E22" s="41"/>
      <c r="F22" s="42"/>
      <c r="G22" s="42"/>
      <c r="H22" s="44">
        <f>SUM(H18:H21)</f>
        <v>525.04781987654326</v>
      </c>
    </row>
    <row r="24" spans="1:17">
      <c r="A24" s="57" t="s">
        <v>106</v>
      </c>
      <c r="B24" s="57"/>
      <c r="C24" s="57"/>
      <c r="D24" s="57"/>
      <c r="E24" s="57"/>
      <c r="F24" s="57"/>
      <c r="G24" s="57"/>
      <c r="H24" s="57"/>
    </row>
    <row r="25" spans="1:17" ht="28.5">
      <c r="A25" s="38" t="s">
        <v>74</v>
      </c>
      <c r="B25" s="38" t="s">
        <v>75</v>
      </c>
      <c r="C25" s="38" t="s">
        <v>76</v>
      </c>
      <c r="D25" s="38" t="s">
        <v>77</v>
      </c>
      <c r="E25" s="38" t="s">
        <v>78</v>
      </c>
      <c r="F25" s="38" t="s">
        <v>79</v>
      </c>
      <c r="G25" s="38" t="s">
        <v>80</v>
      </c>
      <c r="H25" s="38" t="s">
        <v>61</v>
      </c>
    </row>
    <row r="26" spans="1:17" ht="15">
      <c r="A26" s="2" t="s">
        <v>107</v>
      </c>
      <c r="B26" s="1" t="s">
        <v>108</v>
      </c>
      <c r="C26" s="1">
        <v>2</v>
      </c>
      <c r="D26" s="1" t="s">
        <v>83</v>
      </c>
      <c r="E26" s="34">
        <f>Tabla1123[[#This Row],[Horas]]*O9</f>
        <v>30</v>
      </c>
      <c r="F26" s="34">
        <f>Tabla1123[[#This Row],[Horas]]*K7</f>
        <v>1.2345679012345678</v>
      </c>
      <c r="G26" s="34">
        <f>Tabla1123[[#This Row],[Horas]]*K5</f>
        <v>2.3692576888888892</v>
      </c>
      <c r="H26" s="16">
        <f>SUM(Tabla1123[[#This Row],[Costo RH]:[Gastos Operativos]])</f>
        <v>33.603825590123456</v>
      </c>
    </row>
    <row r="27" spans="1:17" ht="15">
      <c r="A27" s="2" t="s">
        <v>109</v>
      </c>
      <c r="B27" s="1" t="s">
        <v>108</v>
      </c>
      <c r="C27" s="1">
        <v>4</v>
      </c>
      <c r="D27" s="1" t="s">
        <v>83</v>
      </c>
      <c r="E27" s="34">
        <f>Tabla1123[[#This Row],[Horas]]*O14</f>
        <v>60</v>
      </c>
      <c r="F27" s="34">
        <f>Tabla1123[[#This Row],[Horas]]*K7</f>
        <v>2.4691358024691357</v>
      </c>
      <c r="G27" s="34">
        <f>Tabla1123[[#This Row],[Horas]]*K5</f>
        <v>4.7385153777777784</v>
      </c>
      <c r="H27" s="16">
        <f>SUM(Tabla1123[[#This Row],[Costo RH]:[Gastos Operativos]])</f>
        <v>67.207651180246913</v>
      </c>
    </row>
    <row r="28" spans="1:17">
      <c r="A28" s="2" t="s">
        <v>110</v>
      </c>
      <c r="B28" s="1" t="s">
        <v>88</v>
      </c>
      <c r="C28" s="1">
        <v>4</v>
      </c>
      <c r="D28" s="1" t="s">
        <v>83</v>
      </c>
      <c r="E28" s="34">
        <f>Tabla1123[[#This Row],[Horas]]*O9</f>
        <v>60</v>
      </c>
      <c r="F28" s="34">
        <f>Tabla1123[[#This Row],[Horas]]*K7</f>
        <v>2.4691358024691357</v>
      </c>
      <c r="G28" s="34">
        <f>Tabla1123[[#This Row],[Horas]]*K5</f>
        <v>4.7385153777777784</v>
      </c>
      <c r="H28" s="16">
        <f>SUM(Tabla1123[[#This Row],[Costo RH]:[Gastos Operativos]])</f>
        <v>67.207651180246913</v>
      </c>
    </row>
    <row r="29" spans="1:17">
      <c r="A29" s="2" t="s">
        <v>111</v>
      </c>
      <c r="B29" s="1" t="s">
        <v>82</v>
      </c>
      <c r="C29" s="1">
        <v>6</v>
      </c>
      <c r="D29" s="1" t="s">
        <v>83</v>
      </c>
      <c r="E29" s="39">
        <f>Tabla1123[[#This Row],[Horas]]*SUM(O4,O9,O14)</f>
        <v>300</v>
      </c>
      <c r="F29" s="34">
        <f>3*Tabla1123[[#This Row],[Horas]]*K7</f>
        <v>11.111111111111111</v>
      </c>
      <c r="G29" s="34">
        <f>3*Tabla1123[[#This Row],[Horas]]*K5</f>
        <v>21.323319200000004</v>
      </c>
      <c r="H29" s="16">
        <f>SUM(Tabla1123[[#This Row],[Costo RH]:[Gastos Operativos]])</f>
        <v>332.4344303111111</v>
      </c>
    </row>
    <row r="30" spans="1:17">
      <c r="A30" s="13" t="s">
        <v>112</v>
      </c>
      <c r="B30" s="40"/>
      <c r="C30" s="40"/>
      <c r="D30" s="40"/>
      <c r="E30" s="41"/>
      <c r="F30" s="42"/>
      <c r="G30" s="42"/>
      <c r="H30" s="43">
        <f>SUM(H26:H29)</f>
        <v>500.4535582617284</v>
      </c>
    </row>
    <row r="32" spans="1:17" ht="15">
      <c r="A32" s="57" t="s">
        <v>113</v>
      </c>
      <c r="B32" s="57"/>
      <c r="C32" s="57"/>
      <c r="D32" s="57"/>
      <c r="E32" s="57"/>
      <c r="F32" s="57"/>
      <c r="G32" s="57"/>
      <c r="H32" s="57"/>
    </row>
    <row r="33" spans="1:11" ht="28.5">
      <c r="A33" s="38" t="s">
        <v>74</v>
      </c>
      <c r="B33" s="38" t="s">
        <v>75</v>
      </c>
      <c r="C33" s="38" t="s">
        <v>76</v>
      </c>
      <c r="D33" s="38" t="s">
        <v>77</v>
      </c>
      <c r="E33" s="38" t="s">
        <v>78</v>
      </c>
      <c r="F33" s="38" t="s">
        <v>79</v>
      </c>
      <c r="G33" s="38" t="s">
        <v>80</v>
      </c>
      <c r="H33" s="38" t="s">
        <v>61</v>
      </c>
    </row>
    <row r="34" spans="1:11">
      <c r="A34" s="2" t="s">
        <v>114</v>
      </c>
      <c r="B34" s="1" t="s">
        <v>103</v>
      </c>
      <c r="C34" s="1">
        <v>1</v>
      </c>
      <c r="D34" s="1" t="s">
        <v>115</v>
      </c>
      <c r="E34" s="46">
        <f>Tabla112226[[#This Row],[Horas]]*O5</f>
        <v>30</v>
      </c>
      <c r="F34" s="46">
        <f>Tabla112226[[#This Row],[Horas]]*K7</f>
        <v>0.61728395061728392</v>
      </c>
      <c r="G34" s="46">
        <f>Tabla112226[[#This Row],[Horas]]*K7</f>
        <v>0.61728395061728392</v>
      </c>
      <c r="H34" s="47">
        <f>SUM(Tabla112226[[#This Row],[Costo RH]:[Gastos Operativos]])</f>
        <v>31.23456790123457</v>
      </c>
    </row>
    <row r="35" spans="1:11">
      <c r="A35" s="2" t="s">
        <v>116</v>
      </c>
      <c r="B35" s="1" t="s">
        <v>82</v>
      </c>
      <c r="C35" s="1">
        <v>6</v>
      </c>
      <c r="D35" s="1" t="s">
        <v>117</v>
      </c>
      <c r="E35" s="46">
        <f>Tabla112226[[#This Row],[Horas]]*SUM(O15,O11,O6)</f>
        <v>480</v>
      </c>
      <c r="F35" s="46">
        <f>3*Tabla112226[[#This Row],[Horas]]*K7</f>
        <v>11.111111111111111</v>
      </c>
      <c r="G35" s="46">
        <f>3*Tabla112226[[#This Row],[Horas]]*K5</f>
        <v>21.323319200000004</v>
      </c>
      <c r="H35" s="47">
        <f>SUM(Tabla112226[[#This Row],[Costo RH]:[Gastos Operativos]])</f>
        <v>512.4344303111111</v>
      </c>
    </row>
    <row r="36" spans="1:11" ht="15" customHeight="1">
      <c r="A36" s="2" t="s">
        <v>118</v>
      </c>
      <c r="B36" s="1" t="s">
        <v>82</v>
      </c>
      <c r="C36" s="1">
        <v>2</v>
      </c>
      <c r="D36" s="1" t="s">
        <v>117</v>
      </c>
      <c r="E36" s="46">
        <f>Tabla112226[[#This Row],[Horas]]*SUM(O15,O11,O6)</f>
        <v>160</v>
      </c>
      <c r="F36" s="46">
        <f>3*Tabla112226[[#This Row],[Horas]]*K7</f>
        <v>3.7037037037037033</v>
      </c>
      <c r="G36" s="46">
        <f>3*Tabla112226[[#This Row],[Horas]]*K5</f>
        <v>7.1077730666666676</v>
      </c>
      <c r="H36" s="47">
        <f>SUM(Tabla112226[[#This Row],[Costo RH]:[Gastos Operativos]])</f>
        <v>170.81147677037038</v>
      </c>
    </row>
    <row r="37" spans="1:11">
      <c r="A37" s="2" t="s">
        <v>119</v>
      </c>
      <c r="B37" s="1" t="s">
        <v>82</v>
      </c>
      <c r="C37" s="1">
        <v>2</v>
      </c>
      <c r="D37" s="1" t="s">
        <v>92</v>
      </c>
      <c r="E37" s="46">
        <f>Tabla112226[[#This Row],[Horas]]*SUM(O5,O10,O14)</f>
        <v>140</v>
      </c>
      <c r="F37" s="46">
        <f>3*Tabla112226[[#This Row],[Horas]]*K7</f>
        <v>3.7037037037037033</v>
      </c>
      <c r="G37" s="46">
        <f>3*Tabla112226[[#This Row],[Horas]]*K5</f>
        <v>7.1077730666666676</v>
      </c>
      <c r="H37" s="47">
        <f>SUM(Tabla112226[[#This Row],[Costo RH]:[Gastos Operativos]])</f>
        <v>150.81147677037038</v>
      </c>
    </row>
    <row r="38" spans="1:11">
      <c r="A38" s="13" t="s">
        <v>105</v>
      </c>
      <c r="B38" s="40"/>
      <c r="C38" s="40"/>
      <c r="D38" s="40"/>
      <c r="E38" s="46"/>
      <c r="F38" s="46"/>
      <c r="G38" s="46"/>
      <c r="H38" s="47">
        <f>SUM(H34:H37)</f>
        <v>865.29195175308644</v>
      </c>
    </row>
    <row r="40" spans="1:11">
      <c r="A40" s="57" t="s">
        <v>120</v>
      </c>
      <c r="B40" s="57"/>
      <c r="C40" s="57"/>
      <c r="D40" s="57"/>
      <c r="E40" s="57"/>
      <c r="F40" s="57"/>
      <c r="G40" s="57"/>
      <c r="H40" s="57"/>
    </row>
    <row r="41" spans="1:11" ht="28.5">
      <c r="A41" s="38" t="s">
        <v>74</v>
      </c>
      <c r="B41" s="38" t="s">
        <v>75</v>
      </c>
      <c r="C41" s="38" t="s">
        <v>76</v>
      </c>
      <c r="D41" s="38" t="s">
        <v>77</v>
      </c>
      <c r="E41" s="38" t="s">
        <v>78</v>
      </c>
      <c r="F41" s="38" t="s">
        <v>79</v>
      </c>
      <c r="G41" s="38" t="s">
        <v>80</v>
      </c>
      <c r="H41" s="38" t="s">
        <v>61</v>
      </c>
      <c r="K41" s="6"/>
    </row>
    <row r="42" spans="1:11">
      <c r="A42" s="2" t="s">
        <v>121</v>
      </c>
      <c r="B42" s="1" t="s">
        <v>103</v>
      </c>
      <c r="C42" s="1">
        <v>6</v>
      </c>
      <c r="D42" s="1" t="s">
        <v>115</v>
      </c>
      <c r="E42" s="34">
        <f>Tabla1127[[#This Row],[Horas]]*O5</f>
        <v>180</v>
      </c>
      <c r="F42" s="34">
        <f>Tabla1127[[#This Row],[Horas]]*K7</f>
        <v>3.7037037037037033</v>
      </c>
      <c r="G42" s="34">
        <f>Tabla1127[[#This Row],[Horas]]*K5</f>
        <v>7.1077730666666676</v>
      </c>
      <c r="H42" s="45">
        <f>SUM(Tabla1127[[#This Row],[Costo RH]:[Gastos Operativos]])</f>
        <v>190.81147677037038</v>
      </c>
      <c r="K42" s="6"/>
    </row>
    <row r="43" spans="1:11">
      <c r="A43" s="2" t="s">
        <v>122</v>
      </c>
      <c r="B43" s="1" t="s">
        <v>103</v>
      </c>
      <c r="C43" s="1">
        <v>12</v>
      </c>
      <c r="D43" s="1" t="s">
        <v>115</v>
      </c>
      <c r="E43" s="34">
        <f>Tabla1127[[#This Row],[Horas]]*O6</f>
        <v>360</v>
      </c>
      <c r="F43" s="34">
        <f>Tabla1127[[#This Row],[Horas]]*K7</f>
        <v>7.4074074074074066</v>
      </c>
      <c r="G43" s="34">
        <f>Tabla1127[[#This Row],[Horas]]*K5</f>
        <v>14.215546133333335</v>
      </c>
      <c r="H43" s="45">
        <f>SUM(Tabla1127[[#This Row],[Costo RH]:[Gastos Operativos]])</f>
        <v>381.62295354074075</v>
      </c>
    </row>
    <row r="44" spans="1:11">
      <c r="A44" s="2" t="s">
        <v>123</v>
      </c>
      <c r="B44" s="1" t="s">
        <v>103</v>
      </c>
      <c r="C44" s="1">
        <v>8</v>
      </c>
      <c r="D44" s="1" t="s">
        <v>115</v>
      </c>
      <c r="E44" s="34">
        <f>Tabla1127[[#This Row],[Horas]]*O5</f>
        <v>240</v>
      </c>
      <c r="F44" s="34">
        <f>Tabla1127[[#This Row],[Horas]]*K7</f>
        <v>4.9382716049382713</v>
      </c>
      <c r="G44" s="34">
        <f>Tabla1127[[#This Row],[Horas]]*K5</f>
        <v>9.4770307555555569</v>
      </c>
      <c r="H44" s="45">
        <f>SUM(Tabla1127[[#This Row],[Costo RH]:[Gastos Operativos]])</f>
        <v>254.41530236049383</v>
      </c>
    </row>
    <row r="45" spans="1:11">
      <c r="A45" s="2" t="s">
        <v>124</v>
      </c>
      <c r="B45" s="1" t="s">
        <v>103</v>
      </c>
      <c r="C45" s="1">
        <v>8</v>
      </c>
      <c r="D45" s="1" t="s">
        <v>115</v>
      </c>
      <c r="E45" s="34">
        <f>Tabla1127[[#This Row],[Horas]]*O5</f>
        <v>240</v>
      </c>
      <c r="F45" s="34">
        <f>Tabla1127[[#This Row],[Horas]]*K7</f>
        <v>4.9382716049382713</v>
      </c>
      <c r="G45" s="34">
        <f>Tabla1127[[#This Row],[Horas]]*K5</f>
        <v>9.4770307555555569</v>
      </c>
      <c r="H45" s="45">
        <f>SUM(Tabla1127[[#This Row],[Costo RH]:[Gastos Operativos]])</f>
        <v>254.41530236049383</v>
      </c>
    </row>
    <row r="46" spans="1:11">
      <c r="A46" s="2" t="s">
        <v>125</v>
      </c>
      <c r="B46" s="1" t="s">
        <v>103</v>
      </c>
      <c r="C46" s="1">
        <v>6</v>
      </c>
      <c r="D46" s="1" t="s">
        <v>115</v>
      </c>
      <c r="E46" s="34">
        <f>Tabla1127[[#This Row],[Horas]]*O5</f>
        <v>180</v>
      </c>
      <c r="F46" s="34">
        <f>Tabla1127[[#This Row],[Horas]]*K7</f>
        <v>3.7037037037037033</v>
      </c>
      <c r="G46" s="34">
        <f>Tabla1127[[#This Row],[Horas]]*K5</f>
        <v>7.1077730666666676</v>
      </c>
      <c r="H46" s="45">
        <f>SUM(Tabla1127[[#This Row],[Costo RH]:[Gastos Operativos]])</f>
        <v>190.81147677037038</v>
      </c>
    </row>
    <row r="47" spans="1:11">
      <c r="A47" s="2" t="s">
        <v>126</v>
      </c>
      <c r="B47" s="1" t="s">
        <v>103</v>
      </c>
      <c r="C47" s="1">
        <v>6</v>
      </c>
      <c r="D47" s="1" t="s">
        <v>115</v>
      </c>
      <c r="E47" s="34">
        <f>Tabla1127[[#This Row],[Horas]]*O5</f>
        <v>180</v>
      </c>
      <c r="F47" s="34">
        <f>Tabla1127[[#This Row],[Horas]]*K7</f>
        <v>3.7037037037037033</v>
      </c>
      <c r="G47" s="34">
        <f>Tabla1127[[#This Row],[Horas]]*K5</f>
        <v>7.1077730666666676</v>
      </c>
      <c r="H47" s="45">
        <f>SUM(Tabla1127[[#This Row],[Costo RH]:[Gastos Operativos]])</f>
        <v>190.81147677037038</v>
      </c>
    </row>
    <row r="48" spans="1:11">
      <c r="A48" s="2" t="s">
        <v>127</v>
      </c>
      <c r="B48" s="1" t="s">
        <v>103</v>
      </c>
      <c r="C48" s="1">
        <v>10</v>
      </c>
      <c r="D48" s="1" t="s">
        <v>115</v>
      </c>
      <c r="E48" s="34">
        <f>Tabla1127[[#This Row],[Horas]]*O5</f>
        <v>300</v>
      </c>
      <c r="F48" s="34">
        <f>Tabla1127[[#This Row],[Horas]]*K7</f>
        <v>6.1728395061728394</v>
      </c>
      <c r="G48" s="34">
        <f>Tabla1127[[#This Row],[Horas]]*K5</f>
        <v>11.846288444444447</v>
      </c>
      <c r="H48" s="45">
        <f>SUM(Tabla1127[[#This Row],[Costo RH]:[Gastos Operativos]])</f>
        <v>318.0191279506173</v>
      </c>
    </row>
    <row r="49" spans="1:8">
      <c r="A49" s="13" t="s">
        <v>97</v>
      </c>
      <c r="B49" s="40"/>
      <c r="C49" s="40"/>
      <c r="D49" s="40"/>
      <c r="E49" s="41"/>
      <c r="F49" s="42"/>
      <c r="G49" s="42"/>
      <c r="H49" s="43">
        <f>SUM(H42:H48)</f>
        <v>1780.9071165234566</v>
      </c>
    </row>
    <row r="51" spans="1:8">
      <c r="A51" s="49" t="s">
        <v>128</v>
      </c>
      <c r="B51" s="50"/>
      <c r="C51" s="50"/>
      <c r="D51" s="50"/>
      <c r="E51" s="50"/>
      <c r="F51" s="50"/>
      <c r="G51" s="50"/>
      <c r="H51" s="54">
        <f>H49+H38+H30+H22+H13</f>
        <v>4600.9846093975311</v>
      </c>
    </row>
    <row r="54" spans="1:8">
      <c r="A54" s="52" t="s">
        <v>129</v>
      </c>
      <c r="B54" s="53">
        <f>H51</f>
        <v>4600.9846093975311</v>
      </c>
    </row>
    <row r="55" spans="1:8">
      <c r="A55" s="52" t="s">
        <v>130</v>
      </c>
      <c r="B55" s="53">
        <f>(0.8*B54)/0.2</f>
        <v>18403.938437590125</v>
      </c>
    </row>
    <row r="56" spans="1:8">
      <c r="A56" s="52" t="s">
        <v>131</v>
      </c>
      <c r="B56" s="53">
        <f>(0.1*B54)/0.2</f>
        <v>2300.4923046987656</v>
      </c>
    </row>
    <row r="57" spans="1:8">
      <c r="A57" s="48" t="s">
        <v>132</v>
      </c>
      <c r="B57" s="51">
        <f>SUM(B54:B56)</f>
        <v>25305.415351686421</v>
      </c>
    </row>
    <row r="58" spans="1:8" ht="15"/>
    <row r="59" spans="1:8" ht="15"/>
  </sheetData>
  <mergeCells count="6">
    <mergeCell ref="A24:H24"/>
    <mergeCell ref="A32:H32"/>
    <mergeCell ref="A40:H40"/>
    <mergeCell ref="A2:H2"/>
    <mergeCell ref="A1:H1"/>
    <mergeCell ref="A16:H16"/>
  </mergeCells>
  <pageMargins left="0.7" right="0.7" top="0.75" bottom="0.75" header="0.3" footer="0.3"/>
  <pageSetup paperSize="9" orientation="portrait" r:id="rId1"/>
  <ignoredErrors>
    <ignoredError sqref="H22 H30" calculatedColumn="1"/>
  </ignoredErrors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2026-01-14T04:06:31Z</dcterms:created>
  <dcterms:modified xsi:type="dcterms:W3CDTF">2026-01-21T14:25:24Z</dcterms:modified>
  <cp:category/>
  <cp:contentStatus/>
</cp:coreProperties>
</file>